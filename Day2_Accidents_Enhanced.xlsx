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e3ba2d5afdcd6c0f/Desktop/HYDERABAD_ANALYST/Hyderabad_Analyst_Day1/data/"/>
    </mc:Choice>
  </mc:AlternateContent>
  <xr:revisionPtr revIDLastSave="404" documentId="8_{AAA12679-FBC5-4382-8CCC-83DCD1A33719}" xr6:coauthVersionLast="47" xr6:coauthVersionMax="47" xr10:uidLastSave="{3E9A04B5-72DB-4BFE-8DDF-79995ABB2B1E}"/>
  <bookViews>
    <workbookView xWindow="-108" yWindow="-108" windowWidth="23256" windowHeight="12456" firstSheet="1" activeTab="5" xr2:uid="{9671B38C-C017-4851-AA9B-46CEF0DCD5C1}"/>
  </bookViews>
  <sheets>
    <sheet name="Sheet3" sheetId="3" r:id="rId1"/>
    <sheet name="Sheet4" sheetId="4" r:id="rId2"/>
    <sheet name="Sheet5" sheetId="5" r:id="rId3"/>
    <sheet name="Sheet6" sheetId="6" r:id="rId4"/>
    <sheet name="Sheet2" sheetId="11" r:id="rId5"/>
    <sheet name="Executive Dashboard" sheetId="12" r:id="rId6"/>
    <sheet name="Sheet1" sheetId="1" r:id="rId7"/>
  </sheets>
  <definedNames>
    <definedName name="_xlcn.WorksheetConnection_Sheet1A1H12" hidden="1">Sheet1!$A$1:$H$12</definedName>
    <definedName name="Slicer_YEAR">#N/A</definedName>
    <definedName name="Slicer_YEAR1">#N/A</definedName>
    <definedName name="Slicer_YEAR2">#N/A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H$1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2" i="1"/>
  <c r="G3" i="1"/>
  <c r="G4" i="1"/>
  <c r="G5" i="1"/>
  <c r="G6" i="1"/>
  <c r="G7" i="1"/>
  <c r="G8" i="1"/>
  <c r="G9" i="1"/>
  <c r="G10" i="1"/>
  <c r="G11" i="1"/>
  <c r="G12" i="1"/>
  <c r="G2" i="1"/>
  <c r="F4" i="1"/>
  <c r="F5" i="1"/>
  <c r="F6" i="1"/>
  <c r="F7" i="1"/>
  <c r="F8" i="1"/>
  <c r="F9" i="1"/>
  <c r="F10" i="1"/>
  <c r="F11" i="1"/>
  <c r="F12" i="1"/>
  <c r="F3" i="1"/>
  <c r="E3" i="1"/>
  <c r="E4" i="1"/>
  <c r="E5" i="1"/>
  <c r="E6" i="1"/>
  <c r="E7" i="1"/>
  <c r="E8" i="1"/>
  <c r="E9" i="1"/>
  <c r="E10" i="1"/>
  <c r="E11" i="1"/>
  <c r="E12"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0586EA-4247-4969-9383-E6A58EAA58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60B08C-58C3-4ECE-BFBE-2A42CC43EC1A}" name="WorksheetConnection_Sheet1!$A$1:$H$12" type="102" refreshedVersion="8" minRefreshableVersion="5">
    <extLst>
      <ext xmlns:x15="http://schemas.microsoft.com/office/spreadsheetml/2010/11/main" uri="{DE250136-89BD-433C-8126-D09CA5730AF9}">
        <x15:connection id="Range" autoDelete="1">
          <x15:rangePr sourceName="_xlcn.WorksheetConnection_Sheet1A1H12"/>
        </x15:connection>
      </ext>
    </extLst>
  </connection>
</connections>
</file>

<file path=xl/sharedStrings.xml><?xml version="1.0" encoding="utf-8"?>
<sst xmlns="http://schemas.openxmlformats.org/spreadsheetml/2006/main" count="31" uniqueCount="19">
  <si>
    <t>YEAR</t>
  </si>
  <si>
    <t xml:space="preserve"> No. of Accidents</t>
  </si>
  <si>
    <t>No. of Fatalities</t>
  </si>
  <si>
    <t>No. of Injuries</t>
  </si>
  <si>
    <t>YoY Change %</t>
  </si>
  <si>
    <t>Severity Index</t>
  </si>
  <si>
    <t>Fatality Rate %</t>
  </si>
  <si>
    <t>Add Period Classification</t>
  </si>
  <si>
    <t>Row Labels</t>
  </si>
  <si>
    <t>Grand Total</t>
  </si>
  <si>
    <t>Sum of  No. of Accidents</t>
  </si>
  <si>
    <t>Sum of No. of Fatalities</t>
  </si>
  <si>
    <t>Average of Fatality Rate %</t>
  </si>
  <si>
    <t>Sum of Severity Index</t>
  </si>
  <si>
    <t>Average of  No. of Accidents</t>
  </si>
  <si>
    <t>Average of YoY Change %</t>
  </si>
  <si>
    <t>Sum of No. of Accidents</t>
  </si>
  <si>
    <t>POST-COVID</t>
  </si>
  <si>
    <t>PRE-COVID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</si>
</sst>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onsolas"/>
      <family val="3"/>
    </font>
    <font>
      <sz val="12"/>
      <color rgb="FF4E4E4E"/>
      <name val="Consolas"/>
      <family val="3"/>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indent="1"/>
    </xf>
    <xf numFmtId="0" fontId="1" fillId="0" borderId="0" xfId="0" applyFont="1" applyAlignment="1">
      <alignment horizontal="left" vertical="center" indent="1"/>
    </xf>
    <xf numFmtId="0" fontId="2" fillId="0" borderId="0" xfId="0" applyFon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[Day2_Accidents_Enhanced.xlsx]Sheet4!PivotTable2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Average of  No. of Accidents</c:v>
                </c:pt>
              </c:strCache>
            </c:strRef>
          </c:tx>
          <c:spPr>
            <a:solidFill>
              <a:schemeClr val="accent1"/>
            </a:solidFill>
            <a:ln>
              <a:noFill/>
            </a:ln>
            <a:effectLst/>
          </c:spPr>
          <c:invertIfNegative val="0"/>
          <c:cat>
            <c:strRef>
              <c:f>Sheet4!$A$4:$A$15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Sheet4!$B$4:$B$15</c:f>
              <c:numCache>
                <c:formatCode>General</c:formatCode>
                <c:ptCount val="11"/>
                <c:pt idx="0">
                  <c:v>20078</c:v>
                </c:pt>
                <c:pt idx="1">
                  <c:v>21252</c:v>
                </c:pt>
                <c:pt idx="2">
                  <c:v>22811</c:v>
                </c:pt>
                <c:pt idx="3">
                  <c:v>22475</c:v>
                </c:pt>
                <c:pt idx="4">
                  <c:v>22230</c:v>
                </c:pt>
                <c:pt idx="5">
                  <c:v>21588</c:v>
                </c:pt>
                <c:pt idx="6">
                  <c:v>19164</c:v>
                </c:pt>
                <c:pt idx="7">
                  <c:v>21315</c:v>
                </c:pt>
                <c:pt idx="8">
                  <c:v>21619</c:v>
                </c:pt>
                <c:pt idx="9">
                  <c:v>22903</c:v>
                </c:pt>
                <c:pt idx="10">
                  <c:v>25934</c:v>
                </c:pt>
              </c:numCache>
            </c:numRef>
          </c:val>
          <c:extLst>
            <c:ext xmlns:c16="http://schemas.microsoft.com/office/drawing/2014/chart" uri="{C3380CC4-5D6E-409C-BE32-E72D297353CC}">
              <c16:uniqueId val="{00000000-DC25-4D0E-A7EB-538EE847E315}"/>
            </c:ext>
          </c:extLst>
        </c:ser>
        <c:ser>
          <c:idx val="1"/>
          <c:order val="1"/>
          <c:tx>
            <c:strRef>
              <c:f>Sheet4!$C$3</c:f>
              <c:strCache>
                <c:ptCount val="1"/>
                <c:pt idx="0">
                  <c:v>Sum of No. of Fatalities</c:v>
                </c:pt>
              </c:strCache>
            </c:strRef>
          </c:tx>
          <c:spPr>
            <a:solidFill>
              <a:schemeClr val="accent2"/>
            </a:solidFill>
            <a:ln>
              <a:noFill/>
            </a:ln>
            <a:effectLst/>
          </c:spPr>
          <c:invertIfNegative val="0"/>
          <c:cat>
            <c:strRef>
              <c:f>Sheet4!$A$4:$A$15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Sheet4!$C$4:$C$15</c:f>
              <c:numCache>
                <c:formatCode>General</c:formatCode>
                <c:ptCount val="11"/>
                <c:pt idx="0">
                  <c:v>6906</c:v>
                </c:pt>
                <c:pt idx="1">
                  <c:v>7110</c:v>
                </c:pt>
                <c:pt idx="2">
                  <c:v>7219</c:v>
                </c:pt>
                <c:pt idx="3">
                  <c:v>6595</c:v>
                </c:pt>
                <c:pt idx="4">
                  <c:v>6603</c:v>
                </c:pt>
                <c:pt idx="5">
                  <c:v>6800</c:v>
                </c:pt>
                <c:pt idx="6">
                  <c:v>6668</c:v>
                </c:pt>
                <c:pt idx="7">
                  <c:v>7559</c:v>
                </c:pt>
                <c:pt idx="8">
                  <c:v>7569</c:v>
                </c:pt>
                <c:pt idx="9">
                  <c:v>7660</c:v>
                </c:pt>
                <c:pt idx="10">
                  <c:v>7281</c:v>
                </c:pt>
              </c:numCache>
            </c:numRef>
          </c:val>
          <c:extLst>
            <c:ext xmlns:c16="http://schemas.microsoft.com/office/drawing/2014/chart" uri="{C3380CC4-5D6E-409C-BE32-E72D297353CC}">
              <c16:uniqueId val="{00000001-DC25-4D0E-A7EB-538EE847E315}"/>
            </c:ext>
          </c:extLst>
        </c:ser>
        <c:ser>
          <c:idx val="2"/>
          <c:order val="2"/>
          <c:tx>
            <c:strRef>
              <c:f>Sheet4!$D$3</c:f>
              <c:strCache>
                <c:ptCount val="1"/>
                <c:pt idx="0">
                  <c:v>Sum of Severity Index</c:v>
                </c:pt>
              </c:strCache>
            </c:strRef>
          </c:tx>
          <c:spPr>
            <a:solidFill>
              <a:schemeClr val="accent3"/>
            </a:solidFill>
            <a:ln>
              <a:noFill/>
            </a:ln>
            <a:effectLst/>
          </c:spPr>
          <c:invertIfNegative val="0"/>
          <c:cat>
            <c:strRef>
              <c:f>Sheet4!$A$4:$A$15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Sheet4!$D$4:$D$15</c:f>
              <c:numCache>
                <c:formatCode>General</c:formatCode>
                <c:ptCount val="11"/>
                <c:pt idx="0">
                  <c:v>1.4215559318657236</c:v>
                </c:pt>
                <c:pt idx="1">
                  <c:v>1.414361001317523</c:v>
                </c:pt>
                <c:pt idx="2">
                  <c:v>1.3781070536144842</c:v>
                </c:pt>
                <c:pt idx="3">
                  <c:v>1.3620467185761957</c:v>
                </c:pt>
                <c:pt idx="4">
                  <c:v>1.3592442645074223</c:v>
                </c:pt>
                <c:pt idx="5">
                  <c:v>1.3648786362794145</c:v>
                </c:pt>
                <c:pt idx="6">
                  <c:v>1.3260801502817783</c:v>
                </c:pt>
                <c:pt idx="7">
                  <c:v>1.2979591836734694</c:v>
                </c:pt>
                <c:pt idx="8">
                  <c:v>1.2848882927054905</c:v>
                </c:pt>
                <c:pt idx="9">
                  <c:v>1.2523250229227612</c:v>
                </c:pt>
                <c:pt idx="10">
                  <c:v>0.87460476594432024</c:v>
                </c:pt>
              </c:numCache>
            </c:numRef>
          </c:val>
          <c:extLst>
            <c:ext xmlns:c16="http://schemas.microsoft.com/office/drawing/2014/chart" uri="{C3380CC4-5D6E-409C-BE32-E72D297353CC}">
              <c16:uniqueId val="{00000002-DC25-4D0E-A7EB-538EE847E315}"/>
            </c:ext>
          </c:extLst>
        </c:ser>
        <c:dLbls>
          <c:showLegendKey val="0"/>
          <c:showVal val="0"/>
          <c:showCatName val="0"/>
          <c:showSerName val="0"/>
          <c:showPercent val="0"/>
          <c:showBubbleSize val="0"/>
        </c:dLbls>
        <c:gapWidth val="219"/>
        <c:overlap val="-27"/>
        <c:axId val="565651312"/>
        <c:axId val="565650832"/>
      </c:barChart>
      <c:catAx>
        <c:axId val="56565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50832"/>
        <c:crosses val="autoZero"/>
        <c:auto val="1"/>
        <c:lblAlgn val="ctr"/>
        <c:lblOffset val="100"/>
        <c:noMultiLvlLbl val="0"/>
      </c:catAx>
      <c:valAx>
        <c:axId val="56565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5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[Day2_Accidents_Enhanced.xlsx]Sheet6!PivotTable4</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Average of Fatality Rate %</c:v>
                </c:pt>
              </c:strCache>
            </c:strRef>
          </c:tx>
          <c:spPr>
            <a:solidFill>
              <a:schemeClr val="accent1"/>
            </a:solidFill>
            <a:ln>
              <a:noFill/>
            </a:ln>
            <a:effectLst/>
            <a:sp3d/>
          </c:spPr>
          <c:invertIfNegative val="0"/>
          <c:cat>
            <c:strRef>
              <c:f>Sheet6!$A$4:$A$15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Sheet6!$B$4:$B$15</c:f>
              <c:numCache>
                <c:formatCode>General</c:formatCode>
                <c:ptCount val="11"/>
                <c:pt idx="0">
                  <c:v>34.395856160972208</c:v>
                </c:pt>
                <c:pt idx="1">
                  <c:v>33.455674760022582</c:v>
                </c:pt>
                <c:pt idx="2">
                  <c:v>31.647012406295207</c:v>
                </c:pt>
                <c:pt idx="3">
                  <c:v>29.343715239154616</c:v>
                </c:pt>
                <c:pt idx="4">
                  <c:v>29.703103913630226</c:v>
                </c:pt>
                <c:pt idx="5">
                  <c:v>31.49898091532333</c:v>
                </c:pt>
                <c:pt idx="6">
                  <c:v>34.794406178250888</c:v>
                </c:pt>
                <c:pt idx="7">
                  <c:v>35.463288763781371</c:v>
                </c:pt>
                <c:pt idx="8">
                  <c:v>35.010870067995747</c:v>
                </c:pt>
                <c:pt idx="9">
                  <c:v>33.445400165917128</c:v>
                </c:pt>
                <c:pt idx="10">
                  <c:v>28.075113750289198</c:v>
                </c:pt>
              </c:numCache>
            </c:numRef>
          </c:val>
          <c:extLst>
            <c:ext xmlns:c16="http://schemas.microsoft.com/office/drawing/2014/chart" uri="{C3380CC4-5D6E-409C-BE32-E72D297353CC}">
              <c16:uniqueId val="{00000000-C2A2-428B-BB3A-DAEA33E09029}"/>
            </c:ext>
          </c:extLst>
        </c:ser>
        <c:ser>
          <c:idx val="1"/>
          <c:order val="1"/>
          <c:tx>
            <c:strRef>
              <c:f>Sheet6!$C$3</c:f>
              <c:strCache>
                <c:ptCount val="1"/>
                <c:pt idx="0">
                  <c:v>Sum of No. of Accidents</c:v>
                </c:pt>
              </c:strCache>
            </c:strRef>
          </c:tx>
          <c:spPr>
            <a:solidFill>
              <a:schemeClr val="accent2"/>
            </a:solidFill>
            <a:ln>
              <a:noFill/>
            </a:ln>
            <a:effectLst/>
            <a:sp3d/>
          </c:spPr>
          <c:invertIfNegative val="0"/>
          <c:cat>
            <c:strRef>
              <c:f>Sheet6!$A$4:$A$15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Sheet6!$C$4:$C$15</c:f>
              <c:numCache>
                <c:formatCode>General</c:formatCode>
                <c:ptCount val="11"/>
                <c:pt idx="0">
                  <c:v>20078</c:v>
                </c:pt>
                <c:pt idx="1">
                  <c:v>21252</c:v>
                </c:pt>
                <c:pt idx="2">
                  <c:v>22811</c:v>
                </c:pt>
                <c:pt idx="3">
                  <c:v>22475</c:v>
                </c:pt>
                <c:pt idx="4">
                  <c:v>22230</c:v>
                </c:pt>
                <c:pt idx="5">
                  <c:v>21588</c:v>
                </c:pt>
                <c:pt idx="6">
                  <c:v>19164</c:v>
                </c:pt>
                <c:pt idx="7">
                  <c:v>21315</c:v>
                </c:pt>
                <c:pt idx="8">
                  <c:v>21619</c:v>
                </c:pt>
                <c:pt idx="9">
                  <c:v>22903</c:v>
                </c:pt>
                <c:pt idx="10">
                  <c:v>25934</c:v>
                </c:pt>
              </c:numCache>
            </c:numRef>
          </c:val>
          <c:extLst>
            <c:ext xmlns:c16="http://schemas.microsoft.com/office/drawing/2014/chart" uri="{C3380CC4-5D6E-409C-BE32-E72D297353CC}">
              <c16:uniqueId val="{00000001-C2A2-428B-BB3A-DAEA33E09029}"/>
            </c:ext>
          </c:extLst>
        </c:ser>
        <c:dLbls>
          <c:showLegendKey val="0"/>
          <c:showVal val="0"/>
          <c:showCatName val="0"/>
          <c:showSerName val="0"/>
          <c:showPercent val="0"/>
          <c:showBubbleSize val="0"/>
        </c:dLbls>
        <c:gapWidth val="150"/>
        <c:shape val="box"/>
        <c:axId val="548650064"/>
        <c:axId val="548658704"/>
        <c:axId val="0"/>
      </c:bar3DChart>
      <c:catAx>
        <c:axId val="54865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58704"/>
        <c:crosses val="autoZero"/>
        <c:auto val="1"/>
        <c:lblAlgn val="ctr"/>
        <c:lblOffset val="100"/>
        <c:noMultiLvlLbl val="0"/>
      </c:catAx>
      <c:valAx>
        <c:axId val="54865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5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[Day2_Accidents_Enhanced.xlsx]Sheet3!PivotChart.</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No. of Accidents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Sheet3!$B$4:$B$15</c:f>
              <c:numCache>
                <c:formatCode>General</c:formatCode>
                <c:ptCount val="11"/>
                <c:pt idx="0">
                  <c:v>20078</c:v>
                </c:pt>
                <c:pt idx="1">
                  <c:v>21252</c:v>
                </c:pt>
                <c:pt idx="2">
                  <c:v>22811</c:v>
                </c:pt>
                <c:pt idx="3">
                  <c:v>22475</c:v>
                </c:pt>
                <c:pt idx="4">
                  <c:v>22230</c:v>
                </c:pt>
                <c:pt idx="5">
                  <c:v>21588</c:v>
                </c:pt>
                <c:pt idx="6">
                  <c:v>19164</c:v>
                </c:pt>
                <c:pt idx="7">
                  <c:v>21315</c:v>
                </c:pt>
                <c:pt idx="8">
                  <c:v>21619</c:v>
                </c:pt>
                <c:pt idx="9">
                  <c:v>22903</c:v>
                </c:pt>
                <c:pt idx="10">
                  <c:v>25934</c:v>
                </c:pt>
              </c:numCache>
            </c:numRef>
          </c:val>
          <c:smooth val="0"/>
          <c:extLst>
            <c:ext xmlns:c16="http://schemas.microsoft.com/office/drawing/2014/chart" uri="{C3380CC4-5D6E-409C-BE32-E72D297353CC}">
              <c16:uniqueId val="{00000000-01DC-4C8C-940B-6BFE8ECAD004}"/>
            </c:ext>
          </c:extLst>
        </c:ser>
        <c:ser>
          <c:idx val="1"/>
          <c:order val="1"/>
          <c:tx>
            <c:strRef>
              <c:f>Sheet3!$C$3</c:f>
              <c:strCache>
                <c:ptCount val="1"/>
                <c:pt idx="0">
                  <c:v>Sum of No. of Fatalities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Sheet3!$C$4:$C$15</c:f>
              <c:numCache>
                <c:formatCode>General</c:formatCode>
                <c:ptCount val="11"/>
                <c:pt idx="0">
                  <c:v>6906</c:v>
                </c:pt>
                <c:pt idx="1">
                  <c:v>7110</c:v>
                </c:pt>
                <c:pt idx="2">
                  <c:v>7219</c:v>
                </c:pt>
                <c:pt idx="3">
                  <c:v>6595</c:v>
                </c:pt>
                <c:pt idx="4">
                  <c:v>6603</c:v>
                </c:pt>
                <c:pt idx="5">
                  <c:v>6800</c:v>
                </c:pt>
                <c:pt idx="6">
                  <c:v>6668</c:v>
                </c:pt>
                <c:pt idx="7">
                  <c:v>7559</c:v>
                </c:pt>
                <c:pt idx="8">
                  <c:v>7569</c:v>
                </c:pt>
                <c:pt idx="9">
                  <c:v>7660</c:v>
                </c:pt>
                <c:pt idx="10">
                  <c:v>7281</c:v>
                </c:pt>
              </c:numCache>
            </c:numRef>
          </c:val>
          <c:smooth val="0"/>
          <c:extLst>
            <c:ext xmlns:c16="http://schemas.microsoft.com/office/drawing/2014/chart" uri="{C3380CC4-5D6E-409C-BE32-E72D297353CC}">
              <c16:uniqueId val="{00000001-01DC-4C8C-940B-6BFE8ECAD004}"/>
            </c:ext>
          </c:extLst>
        </c:ser>
        <c:ser>
          <c:idx val="2"/>
          <c:order val="2"/>
          <c:tx>
            <c:strRef>
              <c:f>Sheet3!$D$3</c:f>
              <c:strCache>
                <c:ptCount val="1"/>
                <c:pt idx="0">
                  <c:v>Average of Fatality Rate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Sheet3!$D$4:$D$15</c:f>
              <c:numCache>
                <c:formatCode>General</c:formatCode>
                <c:ptCount val="11"/>
                <c:pt idx="0">
                  <c:v>34.395856160972208</c:v>
                </c:pt>
                <c:pt idx="1">
                  <c:v>33.455674760022582</c:v>
                </c:pt>
                <c:pt idx="2">
                  <c:v>31.647012406295207</c:v>
                </c:pt>
                <c:pt idx="3">
                  <c:v>29.343715239154616</c:v>
                </c:pt>
                <c:pt idx="4">
                  <c:v>29.703103913630226</c:v>
                </c:pt>
                <c:pt idx="5">
                  <c:v>31.49898091532333</c:v>
                </c:pt>
                <c:pt idx="6">
                  <c:v>34.794406178250888</c:v>
                </c:pt>
                <c:pt idx="7">
                  <c:v>35.463288763781371</c:v>
                </c:pt>
                <c:pt idx="8">
                  <c:v>35.010870067995747</c:v>
                </c:pt>
                <c:pt idx="9">
                  <c:v>33.445400165917128</c:v>
                </c:pt>
                <c:pt idx="10">
                  <c:v>28.075113750289198</c:v>
                </c:pt>
              </c:numCache>
            </c:numRef>
          </c:val>
          <c:smooth val="0"/>
          <c:extLst>
            <c:ext xmlns:c16="http://schemas.microsoft.com/office/drawing/2014/chart" uri="{C3380CC4-5D6E-409C-BE32-E72D297353CC}">
              <c16:uniqueId val="{00000002-01DC-4C8C-940B-6BFE8ECAD004}"/>
            </c:ext>
          </c:extLst>
        </c:ser>
        <c:dLbls>
          <c:showLegendKey val="0"/>
          <c:showVal val="0"/>
          <c:showCatName val="0"/>
          <c:showSerName val="0"/>
          <c:showPercent val="0"/>
          <c:showBubbleSize val="0"/>
        </c:dLbls>
        <c:marker val="1"/>
        <c:smooth val="0"/>
        <c:axId val="1365424432"/>
        <c:axId val="1365424912"/>
      </c:lineChart>
      <c:catAx>
        <c:axId val="136542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424912"/>
        <c:crosses val="autoZero"/>
        <c:auto val="1"/>
        <c:lblAlgn val="ctr"/>
        <c:lblOffset val="100"/>
        <c:noMultiLvlLbl val="0"/>
      </c:catAx>
      <c:valAx>
        <c:axId val="136542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42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[Day2_Accidents_Enhanced.xlsx]Sheet2!PivotTable1</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No. of Accidents</c:v>
                </c:pt>
              </c:strCache>
            </c:strRef>
          </c:tx>
          <c:spPr>
            <a:solidFill>
              <a:schemeClr val="accent1"/>
            </a:solidFill>
            <a:ln>
              <a:noFill/>
            </a:ln>
            <a:effectLst/>
          </c:spPr>
          <c:invertIfNegative val="0"/>
          <c:cat>
            <c:strRef>
              <c:f>Sheet2!$A$4:$A$6</c:f>
              <c:strCache>
                <c:ptCount val="2"/>
                <c:pt idx="0">
                  <c:v>POST-COVID</c:v>
                </c:pt>
                <c:pt idx="1">
                  <c:v>PRE-COVID</c:v>
                </c:pt>
              </c:strCache>
            </c:strRef>
          </c:cat>
          <c:val>
            <c:numRef>
              <c:f>Sheet2!$B$4:$B$6</c:f>
              <c:numCache>
                <c:formatCode>General</c:formatCode>
                <c:ptCount val="2"/>
                <c:pt idx="0">
                  <c:v>110935</c:v>
                </c:pt>
                <c:pt idx="1">
                  <c:v>130434</c:v>
                </c:pt>
              </c:numCache>
            </c:numRef>
          </c:val>
          <c:extLst>
            <c:ext xmlns:c16="http://schemas.microsoft.com/office/drawing/2014/chart" uri="{C3380CC4-5D6E-409C-BE32-E72D297353CC}">
              <c16:uniqueId val="{00000000-50A8-40CE-81F1-E93182635760}"/>
            </c:ext>
          </c:extLst>
        </c:ser>
        <c:ser>
          <c:idx val="1"/>
          <c:order val="1"/>
          <c:tx>
            <c:strRef>
              <c:f>Sheet2!$C$3</c:f>
              <c:strCache>
                <c:ptCount val="1"/>
                <c:pt idx="0">
                  <c:v>Sum of Severity Index</c:v>
                </c:pt>
              </c:strCache>
            </c:strRef>
          </c:tx>
          <c:spPr>
            <a:solidFill>
              <a:schemeClr val="accent2"/>
            </a:solidFill>
            <a:ln>
              <a:noFill/>
            </a:ln>
            <a:effectLst/>
          </c:spPr>
          <c:invertIfNegative val="0"/>
          <c:cat>
            <c:strRef>
              <c:f>Sheet2!$A$4:$A$6</c:f>
              <c:strCache>
                <c:ptCount val="2"/>
                <c:pt idx="0">
                  <c:v>POST-COVID</c:v>
                </c:pt>
                <c:pt idx="1">
                  <c:v>PRE-COVID</c:v>
                </c:pt>
              </c:strCache>
            </c:strRef>
          </c:cat>
          <c:val>
            <c:numRef>
              <c:f>Sheet2!$C$4:$C$6</c:f>
              <c:numCache>
                <c:formatCode>General</c:formatCode>
                <c:ptCount val="2"/>
                <c:pt idx="0">
                  <c:v>6.0358574155278193</c:v>
                </c:pt>
                <c:pt idx="1">
                  <c:v>8.3001936061607626</c:v>
                </c:pt>
              </c:numCache>
            </c:numRef>
          </c:val>
          <c:extLst>
            <c:ext xmlns:c16="http://schemas.microsoft.com/office/drawing/2014/chart" uri="{C3380CC4-5D6E-409C-BE32-E72D297353CC}">
              <c16:uniqueId val="{00000001-50A8-40CE-81F1-E93182635760}"/>
            </c:ext>
          </c:extLst>
        </c:ser>
        <c:dLbls>
          <c:showLegendKey val="0"/>
          <c:showVal val="0"/>
          <c:showCatName val="0"/>
          <c:showSerName val="0"/>
          <c:showPercent val="0"/>
          <c:showBubbleSize val="0"/>
        </c:dLbls>
        <c:gapWidth val="219"/>
        <c:overlap val="-27"/>
        <c:axId val="1429945504"/>
        <c:axId val="1429828864"/>
      </c:barChart>
      <c:catAx>
        <c:axId val="142994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28864"/>
        <c:crosses val="autoZero"/>
        <c:auto val="1"/>
        <c:lblAlgn val="ctr"/>
        <c:lblOffset val="100"/>
        <c:noMultiLvlLbl val="0"/>
      </c:catAx>
      <c:valAx>
        <c:axId val="142982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9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[Day2_Accidents_Enhanced.xlsx]Sheet5!PivotTable3</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Sheet5!$B$4:$B$14</c:f>
              <c:numCache>
                <c:formatCode>General</c:formatCode>
                <c:ptCount val="10"/>
                <c:pt idx="0">
                  <c:v>-5.5241859589685678</c:v>
                </c:pt>
                <c:pt idx="1">
                  <c:v>-6.8344219893910827</c:v>
                </c:pt>
                <c:pt idx="2">
                  <c:v>1.4949944382647387</c:v>
                </c:pt>
                <c:pt idx="3">
                  <c:v>1.1021142600089968</c:v>
                </c:pt>
                <c:pt idx="4">
                  <c:v>2.9738743746525849</c:v>
                </c:pt>
                <c:pt idx="5">
                  <c:v>12.648716343143395</c:v>
                </c:pt>
                <c:pt idx="6">
                  <c:v>-10.091484869809992</c:v>
                </c:pt>
                <c:pt idx="7">
                  <c:v>-1.4061704981729035</c:v>
                </c:pt>
                <c:pt idx="8">
                  <c:v>-5.6062524560101297</c:v>
                </c:pt>
                <c:pt idx="9">
                  <c:v>-11.68736022210226</c:v>
                </c:pt>
              </c:numCache>
            </c:numRef>
          </c:val>
          <c:smooth val="0"/>
          <c:extLst>
            <c:ext xmlns:c16="http://schemas.microsoft.com/office/drawing/2014/chart" uri="{C3380CC4-5D6E-409C-BE32-E72D297353CC}">
              <c16:uniqueId val="{00000000-8A3A-4154-9320-D664FEA1B448}"/>
            </c:ext>
          </c:extLst>
        </c:ser>
        <c:dLbls>
          <c:showLegendKey val="0"/>
          <c:showVal val="0"/>
          <c:showCatName val="0"/>
          <c:showSerName val="0"/>
          <c:showPercent val="0"/>
          <c:showBubbleSize val="0"/>
        </c:dLbls>
        <c:marker val="1"/>
        <c:smooth val="0"/>
        <c:axId val="1365399952"/>
        <c:axId val="1365397552"/>
      </c:lineChart>
      <c:catAx>
        <c:axId val="136539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97552"/>
        <c:crosses val="autoZero"/>
        <c:auto val="1"/>
        <c:lblAlgn val="ctr"/>
        <c:lblOffset val="100"/>
        <c:noMultiLvlLbl val="0"/>
      </c:catAx>
      <c:valAx>
        <c:axId val="1365397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9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14</xdr:col>
      <xdr:colOff>495300</xdr:colOff>
      <xdr:row>24</xdr:row>
      <xdr:rowOff>38100</xdr:rowOff>
    </xdr:to>
    <xdr:graphicFrame macro="">
      <xdr:nvGraphicFramePr>
        <xdr:cNvPr id="5" name="Chart 4">
          <a:extLst>
            <a:ext uri="{FF2B5EF4-FFF2-40B4-BE49-F238E27FC236}">
              <a16:creationId xmlns:a16="http://schemas.microsoft.com/office/drawing/2014/main" id="{C2CE69B8-CC1E-44AE-B831-F4C56BACF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14</xdr:col>
      <xdr:colOff>434340</xdr:colOff>
      <xdr:row>26</xdr:row>
      <xdr:rowOff>114300</xdr:rowOff>
    </xdr:to>
    <xdr:graphicFrame macro="">
      <xdr:nvGraphicFramePr>
        <xdr:cNvPr id="2" name="Chart 1">
          <a:extLst>
            <a:ext uri="{FF2B5EF4-FFF2-40B4-BE49-F238E27FC236}">
              <a16:creationId xmlns:a16="http://schemas.microsoft.com/office/drawing/2014/main" id="{6CD9A4D7-7E4A-46A0-BA28-689A7D268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554305</xdr:colOff>
      <xdr:row>18</xdr:row>
      <xdr:rowOff>35335</xdr:rowOff>
    </xdr:to>
    <xdr:graphicFrame macro="">
      <xdr:nvGraphicFramePr>
        <xdr:cNvPr id="2" name="Chart 1">
          <a:extLst>
            <a:ext uri="{FF2B5EF4-FFF2-40B4-BE49-F238E27FC236}">
              <a16:creationId xmlns:a16="http://schemas.microsoft.com/office/drawing/2014/main" id="{687DB9AD-F934-467C-BD76-746FD14DD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8</xdr:col>
      <xdr:colOff>327660</xdr:colOff>
      <xdr:row>37</xdr:row>
      <xdr:rowOff>106680</xdr:rowOff>
    </xdr:to>
    <xdr:graphicFrame macro="">
      <xdr:nvGraphicFramePr>
        <xdr:cNvPr id="3" name="Chart 2">
          <a:extLst>
            <a:ext uri="{FF2B5EF4-FFF2-40B4-BE49-F238E27FC236}">
              <a16:creationId xmlns:a16="http://schemas.microsoft.com/office/drawing/2014/main" id="{2BE9E925-BA1C-49A2-BF5F-5188A8C37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0</xdr:rowOff>
    </xdr:from>
    <xdr:to>
      <xdr:col>7</xdr:col>
      <xdr:colOff>304800</xdr:colOff>
      <xdr:row>53</xdr:row>
      <xdr:rowOff>0</xdr:rowOff>
    </xdr:to>
    <xdr:graphicFrame macro="">
      <xdr:nvGraphicFramePr>
        <xdr:cNvPr id="4" name="Chart 3">
          <a:extLst>
            <a:ext uri="{FF2B5EF4-FFF2-40B4-BE49-F238E27FC236}">
              <a16:creationId xmlns:a16="http://schemas.microsoft.com/office/drawing/2014/main" id="{FA4E8484-9E16-4484-9863-06B3BEC27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205740</xdr:colOff>
      <xdr:row>2</xdr:row>
      <xdr:rowOff>68580</xdr:rowOff>
    </xdr:from>
    <xdr:to>
      <xdr:col>11</xdr:col>
      <xdr:colOff>205740</xdr:colOff>
      <xdr:row>15</xdr:row>
      <xdr:rowOff>158115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912AF632-EFB0-389A-4579-CFF6B0DA9F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8254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586740</xdr:colOff>
      <xdr:row>21</xdr:row>
      <xdr:rowOff>53340</xdr:rowOff>
    </xdr:from>
    <xdr:to>
      <xdr:col>11</xdr:col>
      <xdr:colOff>586740</xdr:colOff>
      <xdr:row>34</xdr:row>
      <xdr:rowOff>142875</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D0599BE3-C323-A892-E843-AE270B53E1C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463540" y="389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106680</xdr:colOff>
      <xdr:row>40</xdr:row>
      <xdr:rowOff>30480</xdr:rowOff>
    </xdr:from>
    <xdr:to>
      <xdr:col>11</xdr:col>
      <xdr:colOff>106680</xdr:colOff>
      <xdr:row>53</xdr:row>
      <xdr:rowOff>120015</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BD2C6BAC-DBCF-41B1-13BB-8AAFF23BD29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983480" y="7345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refreshedDate="46058.592661111114" createdVersion="8" refreshedVersion="8" minRefreshableVersion="3" recordCount="11" xr:uid="{A9F0CB62-736B-45BD-9861-F43EE90D420A}">
  <cacheSource type="worksheet">
    <worksheetSource ref="A1:H12" sheet="Sheet1"/>
  </cacheSource>
  <cacheFields count="8">
    <cacheField name="YEAR" numFmtId="0">
      <sharedItems containsSemiMixedTypes="0" containsString="0" containsNumber="1" containsInteger="1" minValue="2014" maxValue="2024" count="11">
        <n v="2014"/>
        <n v="2015"/>
        <n v="2016"/>
        <n v="2017"/>
        <n v="2018"/>
        <n v="2019"/>
        <n v="2020"/>
        <n v="2021"/>
        <n v="2022"/>
        <n v="2023"/>
        <n v="2024"/>
      </sharedItems>
    </cacheField>
    <cacheField name=" No. of Accidents" numFmtId="0">
      <sharedItems containsSemiMixedTypes="0" containsString="0" containsNumber="1" containsInteger="1" minValue="19164" maxValue="25934"/>
    </cacheField>
    <cacheField name="No. of Fatalities" numFmtId="0">
      <sharedItems containsSemiMixedTypes="0" containsString="0" containsNumber="1" containsInteger="1" minValue="6595" maxValue="7660"/>
    </cacheField>
    <cacheField name="No. of Injuries" numFmtId="0">
      <sharedItems containsSemiMixedTypes="0" containsString="0" containsNumber="1" containsInteger="1" minValue="15401" maxValue="24217"/>
    </cacheField>
    <cacheField name="Fatality Rate %" numFmtId="0">
      <sharedItems containsSemiMixedTypes="0" containsString="0" containsNumber="1" minValue="28.075113750289198" maxValue="35.463288763781371"/>
    </cacheField>
    <cacheField name="YoY Change %" numFmtId="0">
      <sharedItems containsString="0" containsBlank="1" containsNumber="1" minValue="-11.68736022210226" maxValue="12.648716343143395"/>
    </cacheField>
    <cacheField name="Severity Index" numFmtId="0">
      <sharedItems containsSemiMixedTypes="0" containsString="0" containsNumber="1" minValue="0.87460476594432024" maxValue="1.4215559318657236"/>
    </cacheField>
    <cacheField name="Add Period Classification" numFmtId="0">
      <sharedItems count="2">
        <s v="PRE-COVID"/>
        <s v="POST-COVID"/>
      </sharedItems>
    </cacheField>
  </cacheFields>
  <extLst>
    <ext xmlns:x14="http://schemas.microsoft.com/office/spreadsheetml/2009/9/main" uri="{725AE2AE-9491-48be-B2B4-4EB974FC3084}">
      <x14:pivotCacheDefinition pivotCacheId="17382643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refreshedDate="46058.8063056713" backgroundQuery="1" createdVersion="8" refreshedVersion="8" minRefreshableVersion="3" recordCount="0" supportSubquery="1" supportAdvancedDrill="1" xr:uid="{2C7DCFD1-96A5-4096-B48A-B9C90A54D6EE}">
  <cacheSource type="external" connectionId="1"/>
  <cacheFields count="3">
    <cacheField name="[Range].[YEAR].[YEAR]" caption="YEAR" numFmtId="0"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Range].[YEAR].&amp;[2014]"/>
            <x15:cachedUniqueName index="1" name="[Range].[YEAR].&amp;[2015]"/>
            <x15:cachedUniqueName index="2" name="[Range].[YEAR].&amp;[2016]"/>
            <x15:cachedUniqueName index="3" name="[Range].[YEAR].&amp;[2017]"/>
            <x15:cachedUniqueName index="4" name="[Range].[YEAR].&amp;[2018]"/>
            <x15:cachedUniqueName index="5" name="[Range].[YEAR].&amp;[2019]"/>
            <x15:cachedUniqueName index="6" name="[Range].[YEAR].&amp;[2020]"/>
            <x15:cachedUniqueName index="7" name="[Range].[YEAR].&amp;[2021]"/>
            <x15:cachedUniqueName index="8" name="[Range].[YEAR].&amp;[2022]"/>
            <x15:cachedUniqueName index="9" name="[Range].[YEAR].&amp;[2023]"/>
            <x15:cachedUniqueName index="10" name="[Range].[YEAR].&amp;[2024]"/>
          </x15:cachedUniqueNames>
        </ext>
      </extLst>
    </cacheField>
    <cacheField name="[Measures].[Sum of No. of Accidents]" caption="Sum of No. of Accidents" numFmtId="0" hierarchy="14" level="32767"/>
    <cacheField name="[Measures].[Average of Fatality Rate %]" caption="Average of Fatality Rate %" numFmtId="0" hierarchy="15" level="32767"/>
  </cacheFields>
  <cacheHierarchies count="17">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No. of Accidents]" caption="No. of Accidents" attribute="1" defaultMemberUniqueName="[Range].[No. of Accidents].[All]" allUniqueName="[Range].[No. of Accidents].[All]" dimensionUniqueName="[Range]" displayFolder="" count="0" memberValueDatatype="20" unbalanced="0"/>
    <cacheHierarchy uniqueName="[Range].[No. of Fatalities]" caption="No. of Fatalities" attribute="1" defaultMemberUniqueName="[Range].[No. of Fatalities].[All]" allUniqueName="[Range].[No. of Fatalities].[All]" dimensionUniqueName="[Range]" displayFolder="" count="0" memberValueDatatype="20" unbalanced="0"/>
    <cacheHierarchy uniqueName="[Range].[No. of Injuries]" caption="No. of Injuries" attribute="1" defaultMemberUniqueName="[Range].[No. of Injuries].[All]" allUniqueName="[Range].[No. of Injuries].[All]" dimensionUniqueName="[Range]" displayFolder="" count="0" memberValueDatatype="20" unbalanced="0"/>
    <cacheHierarchy uniqueName="[Range].[Fatality Rate %]" caption="Fatality Rate %" attribute="1" defaultMemberUniqueName="[Range].[Fatality Rate %].[All]" allUniqueName="[Range].[Fatality Rate %].[All]" dimensionUniqueName="[Range]" displayFolder="" count="0" memberValueDatatype="5" unbalanced="0"/>
    <cacheHierarchy uniqueName="[Range].[YoY Change %]" caption="YoY Change %" attribute="1" defaultMemberUniqueName="[Range].[YoY Change %].[All]" allUniqueName="[Range].[YoY Change %].[All]" dimensionUniqueName="[Range]" displayFolder="" count="0" memberValueDatatype="5" unbalanced="0"/>
    <cacheHierarchy uniqueName="[Range].[Severity Index]" caption="Severity Index" attribute="1" defaultMemberUniqueName="[Range].[Severity Index].[All]" allUniqueName="[Range].[Severity Index].[All]" dimensionUniqueName="[Range]" displayFolder="" count="0" memberValueDatatype="5" unbalanced="0"/>
    <cacheHierarchy uniqueName="[Range].[Add Period Classification]" caption="Add Period Classification" attribute="1" defaultMemberUniqueName="[Range].[Add Period Classification].[All]" allUniqueName="[Range].[Add Period Classificat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YoY Change %]" caption="Sum of YoY Change %" measure="1" displayFolder="" measureGroup="Range" count="0" hidden="1">
      <extLst>
        <ext xmlns:x15="http://schemas.microsoft.com/office/spreadsheetml/2010/11/main" uri="{B97F6D7D-B522-45F9-BDA1-12C45D357490}">
          <x15:cacheHierarchy aggregatedColumn="5"/>
        </ext>
      </extLst>
    </cacheHierarchy>
    <cacheHierarchy uniqueName="[Measures].[Average of YoY Change %]" caption="Average of YoY Change %" measure="1" displayFolder="" measureGroup="Range" count="0" hidden="1">
      <extLst>
        <ext xmlns:x15="http://schemas.microsoft.com/office/spreadsheetml/2010/11/main" uri="{B97F6D7D-B522-45F9-BDA1-12C45D357490}">
          <x15:cacheHierarchy aggregatedColumn="5"/>
        </ext>
      </extLst>
    </cacheHierarchy>
    <cacheHierarchy uniqueName="[Measures].[Sum of Fatality Rate %]" caption="Sum of Fatality Rate %" measure="1" displayFolder="" measureGroup="Range" count="0" hidden="1">
      <extLst>
        <ext xmlns:x15="http://schemas.microsoft.com/office/spreadsheetml/2010/11/main" uri="{B97F6D7D-B522-45F9-BDA1-12C45D357490}">
          <x15:cacheHierarchy aggregatedColumn="4"/>
        </ext>
      </extLst>
    </cacheHierarchy>
    <cacheHierarchy uniqueName="[Measures].[Sum of No. of Accidents]" caption="Sum of No. of Accidents"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Fatality Rate %]" caption="Average of Fatality Rate %"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everity Index]" caption="Sum of Severity Index"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refreshedDate="46058.820324074077" backgroundQuery="1" createdVersion="8" refreshedVersion="8" minRefreshableVersion="3" recordCount="0" supportSubquery="1" supportAdvancedDrill="1" xr:uid="{0B13694A-C5E8-4DB6-8D2E-95A3D471FCCB}">
  <cacheSource type="external" connectionId="1"/>
  <cacheFields count="3">
    <cacheField name="[Range].[Add Period Classification].[Add Period Classification]" caption="Add Period Classification" numFmtId="0" hierarchy="7" level="1">
      <sharedItems count="2">
        <s v="POST-COVID"/>
        <s v="PRE-COVID"/>
      </sharedItems>
    </cacheField>
    <cacheField name="[Measures].[Sum of No. of Accidents]" caption="Sum of No. of Accidents" numFmtId="0" hierarchy="14" level="32767"/>
    <cacheField name="[Measures].[Sum of Severity Index]" caption="Sum of Severity Index" numFmtId="0" hierarchy="16" level="32767"/>
  </cacheFields>
  <cacheHierarchies count="17">
    <cacheHierarchy uniqueName="[Range].[YEAR]" caption="YEAR" attribute="1" defaultMemberUniqueName="[Range].[YEAR].[All]" allUniqueName="[Range].[YEAR].[All]" dimensionUniqueName="[Range]" displayFolder="" count="2" memberValueDatatype="20" unbalanced="0"/>
    <cacheHierarchy uniqueName="[Range].[No. of Accidents]" caption="No. of Accidents" attribute="1" defaultMemberUniqueName="[Range].[No. of Accidents].[All]" allUniqueName="[Range].[No. of Accidents].[All]" dimensionUniqueName="[Range]" displayFolder="" count="2" memberValueDatatype="20" unbalanced="0"/>
    <cacheHierarchy uniqueName="[Range].[No. of Fatalities]" caption="No. of Fatalities" attribute="1" defaultMemberUniqueName="[Range].[No. of Fatalities].[All]" allUniqueName="[Range].[No. of Fatalities].[All]" dimensionUniqueName="[Range]" displayFolder="" count="2" memberValueDatatype="20" unbalanced="0"/>
    <cacheHierarchy uniqueName="[Range].[No. of Injuries]" caption="No. of Injuries" attribute="1" defaultMemberUniqueName="[Range].[No. of Injuries].[All]" allUniqueName="[Range].[No. of Injuries].[All]" dimensionUniqueName="[Range]" displayFolder="" count="2" memberValueDatatype="20" unbalanced="0"/>
    <cacheHierarchy uniqueName="[Range].[Fatality Rate %]" caption="Fatality Rate %" attribute="1" defaultMemberUniqueName="[Range].[Fatality Rate %].[All]" allUniqueName="[Range].[Fatality Rate %].[All]" dimensionUniqueName="[Range]" displayFolder="" count="2" memberValueDatatype="5" unbalanced="0"/>
    <cacheHierarchy uniqueName="[Range].[YoY Change %]" caption="YoY Change %" attribute="1" defaultMemberUniqueName="[Range].[YoY Change %].[All]" allUniqueName="[Range].[YoY Change %].[All]" dimensionUniqueName="[Range]" displayFolder="" count="2" memberValueDatatype="5" unbalanced="0"/>
    <cacheHierarchy uniqueName="[Range].[Severity Index]" caption="Severity Index" attribute="1" defaultMemberUniqueName="[Range].[Severity Index].[All]" allUniqueName="[Range].[Severity Index].[All]" dimensionUniqueName="[Range]" displayFolder="" count="2" memberValueDatatype="5" unbalanced="0"/>
    <cacheHierarchy uniqueName="[Range].[Add Period Classification]" caption="Add Period Classification" attribute="1" defaultMemberUniqueName="[Range].[Add Period Classification].[All]" allUniqueName="[Range].[Add Period Classification].[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YoY Change %]" caption="Sum of YoY Change %" measure="1" displayFolder="" measureGroup="Range" count="0" hidden="1">
      <extLst>
        <ext xmlns:x15="http://schemas.microsoft.com/office/spreadsheetml/2010/11/main" uri="{B97F6D7D-B522-45F9-BDA1-12C45D357490}">
          <x15:cacheHierarchy aggregatedColumn="5"/>
        </ext>
      </extLst>
    </cacheHierarchy>
    <cacheHierarchy uniqueName="[Measures].[Average of YoY Change %]" caption="Average of YoY Change %" measure="1" displayFolder="" measureGroup="Range" count="0" hidden="1">
      <extLst>
        <ext xmlns:x15="http://schemas.microsoft.com/office/spreadsheetml/2010/11/main" uri="{B97F6D7D-B522-45F9-BDA1-12C45D357490}">
          <x15:cacheHierarchy aggregatedColumn="5"/>
        </ext>
      </extLst>
    </cacheHierarchy>
    <cacheHierarchy uniqueName="[Measures].[Sum of Fatality Rate %]" caption="Sum of Fatality Rate %" measure="1" displayFolder="" measureGroup="Range" count="0" hidden="1">
      <extLst>
        <ext xmlns:x15="http://schemas.microsoft.com/office/spreadsheetml/2010/11/main" uri="{B97F6D7D-B522-45F9-BDA1-12C45D357490}">
          <x15:cacheHierarchy aggregatedColumn="4"/>
        </ext>
      </extLst>
    </cacheHierarchy>
    <cacheHierarchy uniqueName="[Measures].[Sum of No. of Accidents]" caption="Sum of No. of Accidents"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Fatality Rate %]" caption="Average of Fatality Rate %" measure="1" displayFolder="" measureGroup="Range" count="0" hidden="1">
      <extLst>
        <ext xmlns:x15="http://schemas.microsoft.com/office/spreadsheetml/2010/11/main" uri="{B97F6D7D-B522-45F9-BDA1-12C45D357490}">
          <x15:cacheHierarchy aggregatedColumn="4"/>
        </ext>
      </extLst>
    </cacheHierarchy>
    <cacheHierarchy uniqueName="[Measures].[Sum of Severity Index]" caption="Sum of Severity Index"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refreshedDate="46058.820669212961" backgroundQuery="1" createdVersion="8" refreshedVersion="8" minRefreshableVersion="3" recordCount="0" supportSubquery="1" supportAdvancedDrill="1" xr:uid="{BD6C36B2-20DF-41F5-B770-3BD73D71C013}">
  <cacheSource type="external" connectionId="1"/>
  <cacheFields count="2">
    <cacheField name="[Range].[YEAR].[YEAR]" caption="YEAR" numFmtId="0" level="1">
      <sharedItems containsSemiMixedTypes="0" containsString="0" containsNumber="1" containsInteger="1" minValue="2015" maxValue="2024" count="10">
        <n v="2015"/>
        <n v="2016"/>
        <n v="2017"/>
        <n v="2018"/>
        <n v="2019"/>
        <n v="2020"/>
        <n v="2021"/>
        <n v="2022"/>
        <n v="2023"/>
        <n v="2024"/>
      </sharedItems>
      <extLst>
        <ext xmlns:x15="http://schemas.microsoft.com/office/spreadsheetml/2010/11/main" uri="{4F2E5C28-24EA-4eb8-9CBF-B6C8F9C3D259}">
          <x15:cachedUniqueNames>
            <x15:cachedUniqueName index="0" name="[Range].[YEAR].&amp;[2015]"/>
            <x15:cachedUniqueName index="1" name="[Range].[YEAR].&amp;[2016]"/>
            <x15:cachedUniqueName index="2" name="[Range].[YEAR].&amp;[2017]"/>
            <x15:cachedUniqueName index="3" name="[Range].[YEAR].&amp;[2018]"/>
            <x15:cachedUniqueName index="4" name="[Range].[YEAR].&amp;[2019]"/>
            <x15:cachedUniqueName index="5" name="[Range].[YEAR].&amp;[2020]"/>
            <x15:cachedUniqueName index="6" name="[Range].[YEAR].&amp;[2021]"/>
            <x15:cachedUniqueName index="7" name="[Range].[YEAR].&amp;[2022]"/>
            <x15:cachedUniqueName index="8" name="[Range].[YEAR].&amp;[2023]"/>
            <x15:cachedUniqueName index="9" name="[Range].[YEAR].&amp;[2024]"/>
          </x15:cachedUniqueNames>
        </ext>
      </extLst>
    </cacheField>
    <cacheField name="[Measures].[Average of YoY Change %]" caption="Average of YoY Change %" numFmtId="0" hierarchy="12" level="32767"/>
  </cacheFields>
  <cacheHierarchies count="17">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No. of Accidents]" caption="No. of Accidents" attribute="1" defaultMemberUniqueName="[Range].[No. of Accidents].[All]" allUniqueName="[Range].[No. of Accidents].[All]" dimensionUniqueName="[Range]" displayFolder="" count="2" memberValueDatatype="20" unbalanced="0"/>
    <cacheHierarchy uniqueName="[Range].[No. of Fatalities]" caption="No. of Fatalities" attribute="1" defaultMemberUniqueName="[Range].[No. of Fatalities].[All]" allUniqueName="[Range].[No. of Fatalities].[All]" dimensionUniqueName="[Range]" displayFolder="" count="2" memberValueDatatype="20" unbalanced="0"/>
    <cacheHierarchy uniqueName="[Range].[No. of Injuries]" caption="No. of Injuries" attribute="1" defaultMemberUniqueName="[Range].[No. of Injuries].[All]" allUniqueName="[Range].[No. of Injuries].[All]" dimensionUniqueName="[Range]" displayFolder="" count="2" memberValueDatatype="20" unbalanced="0"/>
    <cacheHierarchy uniqueName="[Range].[Fatality Rate %]" caption="Fatality Rate %" attribute="1" defaultMemberUniqueName="[Range].[Fatality Rate %].[All]" allUniqueName="[Range].[Fatality Rate %].[All]" dimensionUniqueName="[Range]" displayFolder="" count="2" memberValueDatatype="5" unbalanced="0"/>
    <cacheHierarchy uniqueName="[Range].[YoY Change %]" caption="YoY Change %" attribute="1" defaultMemberUniqueName="[Range].[YoY Change %].[All]" allUniqueName="[Range].[YoY Change %].[All]" dimensionUniqueName="[Range]" displayFolder="" count="2" memberValueDatatype="5" unbalanced="0"/>
    <cacheHierarchy uniqueName="[Range].[Severity Index]" caption="Severity Index" attribute="1" defaultMemberUniqueName="[Range].[Severity Index].[All]" allUniqueName="[Range].[Severity Index].[All]" dimensionUniqueName="[Range]" displayFolder="" count="2" memberValueDatatype="5" unbalanced="0"/>
    <cacheHierarchy uniqueName="[Range].[Add Period Classification]" caption="Add Period Classification" attribute="1" defaultMemberUniqueName="[Range].[Add Period Classification].[All]" allUniqueName="[Range].[Add Period Classificati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YoY Change %]" caption="Sum of YoY Change %" measure="1" displayFolder="" measureGroup="Range" count="0" hidden="1">
      <extLst>
        <ext xmlns:x15="http://schemas.microsoft.com/office/spreadsheetml/2010/11/main" uri="{B97F6D7D-B522-45F9-BDA1-12C45D357490}">
          <x15:cacheHierarchy aggregatedColumn="5"/>
        </ext>
      </extLst>
    </cacheHierarchy>
    <cacheHierarchy uniqueName="[Measures].[Average of YoY Change %]" caption="Average of YoY Change %"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Fatality Rate %]" caption="Sum of Fatality Rate %" measure="1" displayFolder="" measureGroup="Range" count="0" hidden="1">
      <extLst>
        <ext xmlns:x15="http://schemas.microsoft.com/office/spreadsheetml/2010/11/main" uri="{B97F6D7D-B522-45F9-BDA1-12C45D357490}">
          <x15:cacheHierarchy aggregatedColumn="4"/>
        </ext>
      </extLst>
    </cacheHierarchy>
    <cacheHierarchy uniqueName="[Measures].[Sum of No. of Accidents]" caption="Sum of No. of Accidents" measure="1" displayFolder="" measureGroup="Range" count="0" hidden="1">
      <extLst>
        <ext xmlns:x15="http://schemas.microsoft.com/office/spreadsheetml/2010/11/main" uri="{B97F6D7D-B522-45F9-BDA1-12C45D357490}">
          <x15:cacheHierarchy aggregatedColumn="1"/>
        </ext>
      </extLst>
    </cacheHierarchy>
    <cacheHierarchy uniqueName="[Measures].[Average of Fatality Rate %]" caption="Average of Fatality Rate %" measure="1" displayFolder="" measureGroup="Range" count="0" hidden="1">
      <extLst>
        <ext xmlns:x15="http://schemas.microsoft.com/office/spreadsheetml/2010/11/main" uri="{B97F6D7D-B522-45F9-BDA1-12C45D357490}">
          <x15:cacheHierarchy aggregatedColumn="4"/>
        </ext>
      </extLst>
    </cacheHierarchy>
    <cacheHierarchy uniqueName="[Measures].[Sum of Severity Index]" caption="Sum of Severity Index"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refreshedDate="46058.820315625002" backgroundQuery="1" createdVersion="3" refreshedVersion="8" minRefreshableVersion="3" recordCount="0" supportSubquery="1" supportAdvancedDrill="1" xr:uid="{5D88D4F0-C518-4EB9-8502-E60F909AF904}">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YEAR]" caption="YEAR" attribute="1" defaultMemberUniqueName="[Range].[YEAR].[All]" allUniqueName="[Range].[YEAR].[All]" dimensionUniqueName="[Range]" displayFolder="" count="2" memberValueDatatype="20" unbalanced="0"/>
    <cacheHierarchy uniqueName="[Range].[No. of Accidents]" caption="No. of Accidents" attribute="1" defaultMemberUniqueName="[Range].[No. of Accidents].[All]" allUniqueName="[Range].[No. of Accidents].[All]" dimensionUniqueName="[Range]" displayFolder="" count="0" memberValueDatatype="20" unbalanced="0"/>
    <cacheHierarchy uniqueName="[Range].[No. of Fatalities]" caption="No. of Fatalities" attribute="1" defaultMemberUniqueName="[Range].[No. of Fatalities].[All]" allUniqueName="[Range].[No. of Fatalities].[All]" dimensionUniqueName="[Range]" displayFolder="" count="0" memberValueDatatype="20" unbalanced="0"/>
    <cacheHierarchy uniqueName="[Range].[No. of Injuries]" caption="No. of Injuries" attribute="1" defaultMemberUniqueName="[Range].[No. of Injuries].[All]" allUniqueName="[Range].[No. of Injuries].[All]" dimensionUniqueName="[Range]" displayFolder="" count="0" memberValueDatatype="20" unbalanced="0"/>
    <cacheHierarchy uniqueName="[Range].[Fatality Rate %]" caption="Fatality Rate %" attribute="1" defaultMemberUniqueName="[Range].[Fatality Rate %].[All]" allUniqueName="[Range].[Fatality Rate %].[All]" dimensionUniqueName="[Range]" displayFolder="" count="0" memberValueDatatype="5" unbalanced="0"/>
    <cacheHierarchy uniqueName="[Range].[YoY Change %]" caption="YoY Change %" attribute="1" defaultMemberUniqueName="[Range].[YoY Change %].[All]" allUniqueName="[Range].[YoY Change %].[All]" dimensionUniqueName="[Range]" displayFolder="" count="0" memberValueDatatype="5" unbalanced="0"/>
    <cacheHierarchy uniqueName="[Range].[Severity Index]" caption="Severity Index" attribute="1" defaultMemberUniqueName="[Range].[Severity Index].[All]" allUniqueName="[Range].[Severity Index].[All]" dimensionUniqueName="[Range]" displayFolder="" count="0" memberValueDatatype="5" unbalanced="0"/>
    <cacheHierarchy uniqueName="[Range].[Add Period Classification]" caption="Add Period Classification" attribute="1" defaultMemberUniqueName="[Range].[Add Period Classification].[All]" allUniqueName="[Range].[Add Period Classificat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0"/>
        </ext>
      </extLst>
    </cacheHierarchy>
    <cacheHierarchy uniqueName="[Measures].[Sum of YoY Change %]" caption="Sum of YoY Change %" measure="1" displayFolder="" measureGroup="Range" count="0" hidden="1">
      <extLst>
        <ext xmlns:x15="http://schemas.microsoft.com/office/spreadsheetml/2010/11/main" uri="{B97F6D7D-B522-45F9-BDA1-12C45D357490}">
          <x15:cacheHierarchy aggregatedColumn="5"/>
        </ext>
      </extLst>
    </cacheHierarchy>
    <cacheHierarchy uniqueName="[Measures].[Average of YoY Change %]" caption="Average of YoY Change %" measure="1" displayFolder="" measureGroup="Range" count="0" hidden="1">
      <extLst>
        <ext xmlns:x15="http://schemas.microsoft.com/office/spreadsheetml/2010/11/main" uri="{B97F6D7D-B522-45F9-BDA1-12C45D357490}">
          <x15:cacheHierarchy aggregatedColumn="5"/>
        </ext>
      </extLst>
    </cacheHierarchy>
    <cacheHierarchy uniqueName="[Measures].[Sum of Fatality Rate %]" caption="Sum of Fatality Rate %" measure="1" displayFolder="" measureGroup="Range" count="0" hidden="1">
      <extLst>
        <ext xmlns:x15="http://schemas.microsoft.com/office/spreadsheetml/2010/11/main" uri="{B97F6D7D-B522-45F9-BDA1-12C45D357490}">
          <x15:cacheHierarchy aggregatedColumn="4"/>
        </ext>
      </extLst>
    </cacheHierarchy>
    <cacheHierarchy uniqueName="[Measures].[Sum of No. of Accidents]" caption="Sum of No. of Accidents" measure="1" displayFolder="" measureGroup="Range" count="0" hidden="1">
      <extLst>
        <ext xmlns:x15="http://schemas.microsoft.com/office/spreadsheetml/2010/11/main" uri="{B97F6D7D-B522-45F9-BDA1-12C45D357490}">
          <x15:cacheHierarchy aggregatedColumn="1"/>
        </ext>
      </extLst>
    </cacheHierarchy>
    <cacheHierarchy uniqueName="[Measures].[Average of Fatality Rate %]" caption="Average of Fatality Rate %" measure="1" displayFolder="" measureGroup="Range" count="0" hidden="1">
      <extLst>
        <ext xmlns:x15="http://schemas.microsoft.com/office/spreadsheetml/2010/11/main" uri="{B97F6D7D-B522-45F9-BDA1-12C45D357490}">
          <x15:cacheHierarchy aggregatedColumn="4"/>
        </ext>
      </extLst>
    </cacheHierarchy>
    <cacheHierarchy uniqueName="[Measures].[Sum of Severity Index]" caption="Sum of Severity Index"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5678949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20078"/>
    <n v="6906"/>
    <n v="21636"/>
    <n v="34.395856160972208"/>
    <m/>
    <n v="1.4215559318657236"/>
    <x v="0"/>
  </r>
  <r>
    <x v="1"/>
    <n v="21252"/>
    <n v="7110"/>
    <n v="22948"/>
    <n v="33.455674760022582"/>
    <n v="-5.5241859589685678"/>
    <n v="1.414361001317523"/>
    <x v="0"/>
  </r>
  <r>
    <x v="2"/>
    <n v="22811"/>
    <n v="7219"/>
    <n v="24217"/>
    <n v="31.647012406295207"/>
    <n v="-6.8344219893910827"/>
    <n v="1.3781070536144842"/>
    <x v="0"/>
  </r>
  <r>
    <x v="3"/>
    <n v="22475"/>
    <n v="6595"/>
    <n v="24017"/>
    <n v="29.343715239154616"/>
    <n v="1.4949944382647387"/>
    <n v="1.3620467185761957"/>
    <x v="0"/>
  </r>
  <r>
    <x v="4"/>
    <n v="22230"/>
    <n v="6603"/>
    <n v="23613"/>
    <n v="29.703103913630226"/>
    <n v="1.1021142600089968"/>
    <n v="1.3592442645074223"/>
    <x v="0"/>
  </r>
  <r>
    <x v="5"/>
    <n v="21588"/>
    <n v="6800"/>
    <n v="22665"/>
    <n v="31.49898091532333"/>
    <n v="2.9738743746525849"/>
    <n v="1.3648786362794145"/>
    <x v="0"/>
  </r>
  <r>
    <x v="6"/>
    <n v="19164"/>
    <n v="6668"/>
    <n v="18745"/>
    <n v="34.794406178250888"/>
    <n v="12.648716343143395"/>
    <n v="1.3260801502817783"/>
    <x v="1"/>
  </r>
  <r>
    <x v="7"/>
    <n v="21315"/>
    <n v="7559"/>
    <n v="20107"/>
    <n v="35.463288763781371"/>
    <n v="-10.091484869809992"/>
    <n v="1.2979591836734694"/>
    <x v="1"/>
  </r>
  <r>
    <x v="8"/>
    <n v="21619"/>
    <n v="7569"/>
    <n v="20209"/>
    <n v="35.010870067995747"/>
    <n v="-1.4061704981729035"/>
    <n v="1.2848882927054905"/>
    <x v="1"/>
  </r>
  <r>
    <x v="9"/>
    <n v="22903"/>
    <n v="7660"/>
    <n v="21022"/>
    <n v="33.445400165917128"/>
    <n v="-5.6062524560101297"/>
    <n v="1.2523250229227612"/>
    <x v="1"/>
  </r>
  <r>
    <x v="10"/>
    <n v="25934"/>
    <n v="7281"/>
    <n v="15401"/>
    <n v="28.075113750289198"/>
    <n v="-11.68736022210226"/>
    <n v="0.8746047659443202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C83639-CB1D-4252-A7AE-EBB7AFD8DF91}" name="Pivot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5" firstHeaderRow="0" firstDataRow="1" firstDataCol="1"/>
  <pivotFields count="8">
    <pivotField axis="axisRow" showAll="0">
      <items count="12">
        <item x="0"/>
        <item x="1"/>
        <item x="2"/>
        <item x="3"/>
        <item x="4"/>
        <item x="5"/>
        <item x="6"/>
        <item x="7"/>
        <item x="8"/>
        <item x="9"/>
        <item x="10"/>
        <item t="default"/>
      </items>
    </pivotField>
    <pivotField dataField="1" showAll="0"/>
    <pivotField dataField="1" showAll="0"/>
    <pivotField showAll="0"/>
    <pivotField dataField="1" showAll="0"/>
    <pivotField showAll="0"/>
    <pivotField showAll="0"/>
    <pivotField showAll="0">
      <items count="3">
        <item x="1"/>
        <item x="0"/>
        <item t="default"/>
      </items>
    </pivotField>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No. of Accidents" fld="1" baseField="0" baseItem="0"/>
    <dataField name="Sum of No. of Fatalities" fld="2" baseField="0" baseItem="0"/>
    <dataField name="Average of Fatality Rate %" fld="4" subtotal="average" baseField="0" baseItem="0"/>
  </dataField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2DC2E-5927-4164-A663-69775F9A85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5" firstHeaderRow="0" firstDataRow="1" firstDataCol="1"/>
  <pivotFields count="8">
    <pivotField axis="axisRow" showAll="0">
      <items count="12">
        <item x="0"/>
        <item x="1"/>
        <item x="2"/>
        <item x="3"/>
        <item x="4"/>
        <item x="5"/>
        <item x="6"/>
        <item x="7"/>
        <item x="8"/>
        <item x="9"/>
        <item x="10"/>
        <item t="default"/>
      </items>
    </pivotField>
    <pivotField dataField="1" showAll="0"/>
    <pivotField dataField="1" showAll="0"/>
    <pivotField showAll="0"/>
    <pivotField showAll="0"/>
    <pivotField showAll="0"/>
    <pivotField dataField="1" showAll="0"/>
    <pivotField showAll="0">
      <items count="3">
        <item x="1"/>
        <item x="0"/>
        <item t="default"/>
      </items>
    </pivotField>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No. of Accidents" fld="1" subtotal="average" baseField="0" baseItem="0"/>
    <dataField name="Sum of No. of Fatalities" fld="2" baseField="0" baseItem="0"/>
    <dataField name="Sum of Severity Index" fld="6" baseField="0" baseItem="0"/>
  </dataFields>
  <chartFormats count="9">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2445A2-5C07-4060-A41D-173C1E78CC2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YoY Change %" fld="1" subtotal="average" baseField="0" baseItem="0"/>
  </dataFields>
  <chartFormats count="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1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YoY Chang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1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7B706-5127-48CE-88B5-1B2679168BED}"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C15" firstHeaderRow="0"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Average of Fatality Rate %" fld="2" subtotal="average" baseField="0" baseItem="0"/>
    <dataField name="Sum of No. of Accidents" fld="1"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1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Fatality Rate %"/>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1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EFF776-0109-412A-9311-FF8BC96D7388}"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3:C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No. of Accidents" fld="1" baseField="0" baseItem="0"/>
    <dataField name="Sum of Severity Index"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1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C177B7A-1567-4071-A655-135CCD87E2C8}" sourceName="YEAR">
  <pivotTables>
    <pivotTable tabId="3" name="PivotChart."/>
  </pivotTables>
  <data>
    <tabular pivotCacheId="1738264364">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DCE1436-446F-4681-B226-F76262DB1CB1}" sourceName="[Range].[YEAR]">
  <pivotTables>
    <pivotTable tabId="11" name="PivotTable1"/>
  </pivotTables>
  <data>
    <olap pivotCacheId="156789491">
      <levels count="2">
        <level uniqueName="[Range].[YEAR].[(All)]" sourceCaption="(All)" count="0"/>
        <level uniqueName="[Range].[YEAR].[YEAR]" sourceCaption="YEAR" count="11">
          <ranges>
            <range startItem="0">
              <i n="[Range].[YEAR].&amp;[2014]" c="2014"/>
              <i n="[Range].[YEAR].&amp;[2015]" c="2015"/>
              <i n="[Range].[YEAR].&amp;[2016]" c="2016"/>
              <i n="[Range].[YEAR].&amp;[2017]" c="2017"/>
              <i n="[Range].[YEAR].&amp;[2018]" c="2018"/>
              <i n="[Range].[YEAR].&amp;[2019]" c="2019"/>
              <i n="[Range].[YEAR].&amp;[2020]" c="2020"/>
              <i n="[Range].[YEAR].&amp;[2021]" c="2021"/>
              <i n="[Range].[YEAR].&amp;[2022]" c="2022"/>
              <i n="[Range].[YEAR].&amp;[2023]" c="2023"/>
              <i n="[Range].[YEAR].&amp;[2024]" c="2024"/>
            </range>
          </ranges>
        </level>
      </levels>
      <selections count="1">
        <selection n="[Range].[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60CA0AB9-9419-4859-B9B3-9F4D74C6E858}" sourceName="[Range].[YEAR]">
  <pivotTables>
    <pivotTable tabId="5" name="PivotTable3"/>
  </pivotTables>
  <data>
    <olap pivotCacheId="156789491">
      <levels count="2">
        <level uniqueName="[Range].[YEAR].[(All)]" sourceCaption="(All)" count="0"/>
        <level uniqueName="[Range].[YEAR].[YEAR]" sourceCaption="YEAR" count="11">
          <ranges>
            <range startItem="0">
              <i n="[Range].[YEAR].&amp;[2015]" c="2015"/>
              <i n="[Range].[YEAR].&amp;[2016]" c="2016"/>
              <i n="[Range].[YEAR].&amp;[2017]" c="2017"/>
              <i n="[Range].[YEAR].&amp;[2018]" c="2018"/>
              <i n="[Range].[YEAR].&amp;[2019]" c="2019"/>
              <i n="[Range].[YEAR].&amp;[2020]" c="2020"/>
              <i n="[Range].[YEAR].&amp;[2021]" c="2021"/>
              <i n="[Range].[YEAR].&amp;[2022]" c="2022"/>
              <i n="[Range].[YEAR].&amp;[2023]" c="2023"/>
              <i n="[Range].[YEAR].&amp;[2024]" c="2024"/>
              <i n="[Range].[YEAR].&amp;[2014]" c="2014" nd="1"/>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2E53B20-E8B4-4A36-9AB4-A5B8550DE6A2}" cache="Slicer_YEAR" caption="YEAR" startItem="3" rowHeight="234950"/>
  <slicer name="YEAR 1" xr10:uid="{778DFD30-C395-46F2-8E85-4C6BF86B26EF}" cache="Slicer_YEAR1" caption="YEAR" startItem="4" level="1" rowHeight="234950"/>
  <slicer name="YEAR 2" xr10:uid="{4FF04AB9-65D4-4609-92B3-309A89851085}" cache="Slicer_YEAR2" caption="YEA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2875E-E8AE-4CEA-8014-FE73C551A553}">
  <dimension ref="A3:D15"/>
  <sheetViews>
    <sheetView zoomScale="113" zoomScaleNormal="100" workbookViewId="0">
      <selection activeCell="M42" sqref="M42"/>
    </sheetView>
  </sheetViews>
  <sheetFormatPr defaultRowHeight="14.4" x14ac:dyDescent="0.3"/>
  <cols>
    <col min="1" max="1" width="12.5546875" bestFit="1" customWidth="1"/>
    <col min="2" max="2" width="22.109375" bestFit="1" customWidth="1"/>
    <col min="3" max="3" width="21" bestFit="1" customWidth="1"/>
    <col min="4" max="4" width="23.6640625" bestFit="1" customWidth="1"/>
  </cols>
  <sheetData>
    <row r="3" spans="1:4" x14ac:dyDescent="0.3">
      <c r="A3" s="4" t="s">
        <v>8</v>
      </c>
      <c r="B3" t="s">
        <v>10</v>
      </c>
      <c r="C3" t="s">
        <v>11</v>
      </c>
      <c r="D3" t="s">
        <v>12</v>
      </c>
    </row>
    <row r="4" spans="1:4" x14ac:dyDescent="0.3">
      <c r="A4" s="5">
        <v>2014</v>
      </c>
      <c r="B4">
        <v>20078</v>
      </c>
      <c r="C4">
        <v>6906</v>
      </c>
      <c r="D4">
        <v>34.395856160972208</v>
      </c>
    </row>
    <row r="5" spans="1:4" x14ac:dyDescent="0.3">
      <c r="A5" s="5">
        <v>2015</v>
      </c>
      <c r="B5">
        <v>21252</v>
      </c>
      <c r="C5">
        <v>7110</v>
      </c>
      <c r="D5">
        <v>33.455674760022582</v>
      </c>
    </row>
    <row r="6" spans="1:4" x14ac:dyDescent="0.3">
      <c r="A6" s="5">
        <v>2016</v>
      </c>
      <c r="B6">
        <v>22811</v>
      </c>
      <c r="C6">
        <v>7219</v>
      </c>
      <c r="D6">
        <v>31.647012406295207</v>
      </c>
    </row>
    <row r="7" spans="1:4" x14ac:dyDescent="0.3">
      <c r="A7" s="5">
        <v>2017</v>
      </c>
      <c r="B7">
        <v>22475</v>
      </c>
      <c r="C7">
        <v>6595</v>
      </c>
      <c r="D7">
        <v>29.343715239154616</v>
      </c>
    </row>
    <row r="8" spans="1:4" x14ac:dyDescent="0.3">
      <c r="A8" s="5">
        <v>2018</v>
      </c>
      <c r="B8">
        <v>22230</v>
      </c>
      <c r="C8">
        <v>6603</v>
      </c>
      <c r="D8">
        <v>29.703103913630226</v>
      </c>
    </row>
    <row r="9" spans="1:4" x14ac:dyDescent="0.3">
      <c r="A9" s="5">
        <v>2019</v>
      </c>
      <c r="B9">
        <v>21588</v>
      </c>
      <c r="C9">
        <v>6800</v>
      </c>
      <c r="D9">
        <v>31.49898091532333</v>
      </c>
    </row>
    <row r="10" spans="1:4" x14ac:dyDescent="0.3">
      <c r="A10" s="5">
        <v>2020</v>
      </c>
      <c r="B10">
        <v>19164</v>
      </c>
      <c r="C10">
        <v>6668</v>
      </c>
      <c r="D10">
        <v>34.794406178250888</v>
      </c>
    </row>
    <row r="11" spans="1:4" x14ac:dyDescent="0.3">
      <c r="A11" s="5">
        <v>2021</v>
      </c>
      <c r="B11">
        <v>21315</v>
      </c>
      <c r="C11">
        <v>7559</v>
      </c>
      <c r="D11">
        <v>35.463288763781371</v>
      </c>
    </row>
    <row r="12" spans="1:4" x14ac:dyDescent="0.3">
      <c r="A12" s="5">
        <v>2022</v>
      </c>
      <c r="B12">
        <v>21619</v>
      </c>
      <c r="C12">
        <v>7569</v>
      </c>
      <c r="D12">
        <v>35.010870067995747</v>
      </c>
    </row>
    <row r="13" spans="1:4" x14ac:dyDescent="0.3">
      <c r="A13" s="5">
        <v>2023</v>
      </c>
      <c r="B13">
        <v>22903</v>
      </c>
      <c r="C13">
        <v>7660</v>
      </c>
      <c r="D13">
        <v>33.445400165917128</v>
      </c>
    </row>
    <row r="14" spans="1:4" x14ac:dyDescent="0.3">
      <c r="A14" s="5">
        <v>2024</v>
      </c>
      <c r="B14">
        <v>25934</v>
      </c>
      <c r="C14">
        <v>7281</v>
      </c>
      <c r="D14">
        <v>28.075113750289198</v>
      </c>
    </row>
    <row r="15" spans="1:4" x14ac:dyDescent="0.3">
      <c r="A15" s="5" t="s">
        <v>9</v>
      </c>
      <c r="B15">
        <v>241369</v>
      </c>
      <c r="C15">
        <v>77970</v>
      </c>
      <c r="D15">
        <v>32.439402029239318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8002-1B6E-4846-A1B4-77BF81345425}">
  <dimension ref="A3:D15"/>
  <sheetViews>
    <sheetView workbookViewId="0">
      <selection activeCell="B22" sqref="B22"/>
    </sheetView>
  </sheetViews>
  <sheetFormatPr defaultRowHeight="14.4" x14ac:dyDescent="0.3"/>
  <cols>
    <col min="1" max="1" width="12.5546875" bestFit="1" customWidth="1"/>
    <col min="2" max="2" width="25.109375" bestFit="1" customWidth="1"/>
    <col min="3" max="3" width="20.6640625" bestFit="1" customWidth="1"/>
    <col min="4" max="4" width="19.5546875" bestFit="1" customWidth="1"/>
  </cols>
  <sheetData>
    <row r="3" spans="1:4" x14ac:dyDescent="0.3">
      <c r="A3" s="4" t="s">
        <v>8</v>
      </c>
      <c r="B3" t="s">
        <v>14</v>
      </c>
      <c r="C3" t="s">
        <v>11</v>
      </c>
      <c r="D3" t="s">
        <v>13</v>
      </c>
    </row>
    <row r="4" spans="1:4" x14ac:dyDescent="0.3">
      <c r="A4" s="5">
        <v>2014</v>
      </c>
      <c r="B4">
        <v>20078</v>
      </c>
      <c r="C4">
        <v>6906</v>
      </c>
      <c r="D4">
        <v>1.4215559318657236</v>
      </c>
    </row>
    <row r="5" spans="1:4" x14ac:dyDescent="0.3">
      <c r="A5" s="5">
        <v>2015</v>
      </c>
      <c r="B5">
        <v>21252</v>
      </c>
      <c r="C5">
        <v>7110</v>
      </c>
      <c r="D5">
        <v>1.414361001317523</v>
      </c>
    </row>
    <row r="6" spans="1:4" x14ac:dyDescent="0.3">
      <c r="A6" s="5">
        <v>2016</v>
      </c>
      <c r="B6">
        <v>22811</v>
      </c>
      <c r="C6">
        <v>7219</v>
      </c>
      <c r="D6">
        <v>1.3781070536144842</v>
      </c>
    </row>
    <row r="7" spans="1:4" x14ac:dyDescent="0.3">
      <c r="A7" s="5">
        <v>2017</v>
      </c>
      <c r="B7">
        <v>22475</v>
      </c>
      <c r="C7">
        <v>6595</v>
      </c>
      <c r="D7">
        <v>1.3620467185761957</v>
      </c>
    </row>
    <row r="8" spans="1:4" x14ac:dyDescent="0.3">
      <c r="A8" s="5">
        <v>2018</v>
      </c>
      <c r="B8">
        <v>22230</v>
      </c>
      <c r="C8">
        <v>6603</v>
      </c>
      <c r="D8">
        <v>1.3592442645074223</v>
      </c>
    </row>
    <row r="9" spans="1:4" x14ac:dyDescent="0.3">
      <c r="A9" s="5">
        <v>2019</v>
      </c>
      <c r="B9">
        <v>21588</v>
      </c>
      <c r="C9">
        <v>6800</v>
      </c>
      <c r="D9">
        <v>1.3648786362794145</v>
      </c>
    </row>
    <row r="10" spans="1:4" x14ac:dyDescent="0.3">
      <c r="A10" s="5">
        <v>2020</v>
      </c>
      <c r="B10">
        <v>19164</v>
      </c>
      <c r="C10">
        <v>6668</v>
      </c>
      <c r="D10">
        <v>1.3260801502817783</v>
      </c>
    </row>
    <row r="11" spans="1:4" x14ac:dyDescent="0.3">
      <c r="A11" s="5">
        <v>2021</v>
      </c>
      <c r="B11">
        <v>21315</v>
      </c>
      <c r="C11">
        <v>7559</v>
      </c>
      <c r="D11">
        <v>1.2979591836734694</v>
      </c>
    </row>
    <row r="12" spans="1:4" x14ac:dyDescent="0.3">
      <c r="A12" s="5">
        <v>2022</v>
      </c>
      <c r="B12">
        <v>21619</v>
      </c>
      <c r="C12">
        <v>7569</v>
      </c>
      <c r="D12">
        <v>1.2848882927054905</v>
      </c>
    </row>
    <row r="13" spans="1:4" x14ac:dyDescent="0.3">
      <c r="A13" s="5">
        <v>2023</v>
      </c>
      <c r="B13">
        <v>22903</v>
      </c>
      <c r="C13">
        <v>7660</v>
      </c>
      <c r="D13">
        <v>1.2523250229227612</v>
      </c>
    </row>
    <row r="14" spans="1:4" x14ac:dyDescent="0.3">
      <c r="A14" s="5">
        <v>2024</v>
      </c>
      <c r="B14">
        <v>25934</v>
      </c>
      <c r="C14">
        <v>7281</v>
      </c>
      <c r="D14">
        <v>0.87460476594432024</v>
      </c>
    </row>
    <row r="15" spans="1:4" x14ac:dyDescent="0.3">
      <c r="A15" s="5" t="s">
        <v>9</v>
      </c>
      <c r="B15">
        <v>21942.636363636364</v>
      </c>
      <c r="C15">
        <v>77970</v>
      </c>
      <c r="D15">
        <v>14.336051021688583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A66C-41AA-40C1-A56F-0B9824DF267F}">
  <dimension ref="A3:B14"/>
  <sheetViews>
    <sheetView workbookViewId="0">
      <selection activeCell="B6" sqref="B6"/>
    </sheetView>
  </sheetViews>
  <sheetFormatPr defaultRowHeight="14.4" x14ac:dyDescent="0.3"/>
  <cols>
    <col min="1" max="1" width="12.5546875" bestFit="1" customWidth="1"/>
    <col min="2" max="2" width="22.6640625" bestFit="1" customWidth="1"/>
  </cols>
  <sheetData>
    <row r="3" spans="1:2" x14ac:dyDescent="0.3">
      <c r="A3" s="4" t="s">
        <v>8</v>
      </c>
      <c r="B3" t="s">
        <v>15</v>
      </c>
    </row>
    <row r="4" spans="1:2" x14ac:dyDescent="0.3">
      <c r="A4" s="5">
        <v>2015</v>
      </c>
      <c r="B4">
        <v>-5.5241859589685678</v>
      </c>
    </row>
    <row r="5" spans="1:2" x14ac:dyDescent="0.3">
      <c r="A5" s="5">
        <v>2016</v>
      </c>
      <c r="B5">
        <v>-6.8344219893910827</v>
      </c>
    </row>
    <row r="6" spans="1:2" x14ac:dyDescent="0.3">
      <c r="A6" s="5">
        <v>2017</v>
      </c>
      <c r="B6">
        <v>1.4949944382647387</v>
      </c>
    </row>
    <row r="7" spans="1:2" x14ac:dyDescent="0.3">
      <c r="A7" s="5">
        <v>2018</v>
      </c>
      <c r="B7">
        <v>1.1021142600089968</v>
      </c>
    </row>
    <row r="8" spans="1:2" x14ac:dyDescent="0.3">
      <c r="A8" s="5">
        <v>2019</v>
      </c>
      <c r="B8">
        <v>2.9738743746525849</v>
      </c>
    </row>
    <row r="9" spans="1:2" x14ac:dyDescent="0.3">
      <c r="A9" s="5">
        <v>2020</v>
      </c>
      <c r="B9">
        <v>12.648716343143395</v>
      </c>
    </row>
    <row r="10" spans="1:2" x14ac:dyDescent="0.3">
      <c r="A10" s="5">
        <v>2021</v>
      </c>
      <c r="B10">
        <v>-10.091484869809992</v>
      </c>
    </row>
    <row r="11" spans="1:2" x14ac:dyDescent="0.3">
      <c r="A11" s="5">
        <v>2022</v>
      </c>
      <c r="B11">
        <v>-1.4061704981729035</v>
      </c>
    </row>
    <row r="12" spans="1:2" x14ac:dyDescent="0.3">
      <c r="A12" s="5">
        <v>2023</v>
      </c>
      <c r="B12">
        <v>-5.6062524560101297</v>
      </c>
    </row>
    <row r="13" spans="1:2" x14ac:dyDescent="0.3">
      <c r="A13" s="5">
        <v>2024</v>
      </c>
      <c r="B13">
        <v>-11.68736022210226</v>
      </c>
    </row>
    <row r="14" spans="1:2" x14ac:dyDescent="0.3">
      <c r="A14" s="5" t="s">
        <v>9</v>
      </c>
      <c r="B14">
        <v>-2.2930176578385222</v>
      </c>
    </row>
  </sheetData>
  <conditionalFormatting sqref="A3">
    <cfRule type="dataBar" priority="6">
      <dataBar>
        <cfvo type="min"/>
        <cfvo type="max"/>
        <color rgb="FF638EC6"/>
      </dataBar>
      <extLst>
        <ext xmlns:x14="http://schemas.microsoft.com/office/spreadsheetml/2009/9/main" uri="{B025F937-C7B1-47D3-B67F-A62EFF666E3E}">
          <x14:id>{87F0FFFD-4269-42CB-8F08-935F0377648A}</x14:id>
        </ext>
      </extLst>
    </cfRule>
  </conditionalFormatting>
  <conditionalFormatting sqref="A3:B3 A4:A14">
    <cfRule type="dataBar" priority="2">
      <dataBar>
        <cfvo type="min"/>
        <cfvo type="max"/>
        <color rgb="FF008AEF"/>
      </dataBar>
      <extLst>
        <ext xmlns:x14="http://schemas.microsoft.com/office/spreadsheetml/2009/9/main" uri="{B025F937-C7B1-47D3-B67F-A62EFF666E3E}">
          <x14:id>{C5C95AF5-D8DE-43CD-8997-AF8705A27408}</x14:id>
        </ext>
      </extLst>
    </cfRule>
  </conditionalFormatting>
  <conditionalFormatting sqref="K11">
    <cfRule type="dataBar" priority="1">
      <dataBar>
        <cfvo type="min"/>
        <cfvo type="max"/>
        <color rgb="FF008AEF"/>
      </dataBar>
      <extLst>
        <ext xmlns:x14="http://schemas.microsoft.com/office/spreadsheetml/2009/9/main" uri="{B025F937-C7B1-47D3-B67F-A62EFF666E3E}">
          <x14:id>{7C5D13FB-3748-4FC9-94C3-43F3FAEBB773}</x14:id>
        </ext>
      </extLst>
    </cfRule>
  </conditionalFormatting>
  <conditionalFormatting sqref="O3">
    <cfRule type="dataBar" priority="4">
      <dataBar>
        <cfvo type="min"/>
        <cfvo type="max"/>
        <color rgb="FF638EC6"/>
      </dataBar>
      <extLst>
        <ext xmlns:x14="http://schemas.microsoft.com/office/spreadsheetml/2009/9/main" uri="{B025F937-C7B1-47D3-B67F-A62EFF666E3E}">
          <x14:id>{F743B4B1-ED19-4001-BCA7-6C1D280B3C04}</x14:id>
        </ext>
      </extLst>
    </cfRule>
  </conditionalFormatting>
  <conditionalFormatting sqref="O4">
    <cfRule type="dataBar" priority="5">
      <dataBar>
        <cfvo type="min"/>
        <cfvo type="max"/>
        <color rgb="FF638EC6"/>
      </dataBar>
      <extLst>
        <ext xmlns:x14="http://schemas.microsoft.com/office/spreadsheetml/2009/9/main" uri="{B025F937-C7B1-47D3-B67F-A62EFF666E3E}">
          <x14:id>{C369AB9D-AA80-47B5-8161-CE44D344F282}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7F0FFFD-4269-42CB-8F08-935F0377648A}">
            <x14:dataBar minLength="0" maxLength="100" border="1" negativeBarBorderColorSameAsPositive="0">
              <x14:cfvo type="autoMin"/>
              <x14:cfvo type="autoMax"/>
              <x14:borderColor rgb="FF638EC6"/>
              <x14:negativeFillColor rgb="FFFF0000"/>
              <x14:negativeBorderColor rgb="FFFF0000"/>
              <x14:axisColor rgb="FF000000"/>
            </x14:dataBar>
          </x14:cfRule>
          <xm:sqref>A3</xm:sqref>
        </x14:conditionalFormatting>
        <x14:conditionalFormatting xmlns:xm="http://schemas.microsoft.com/office/excel/2006/main">
          <x14:cfRule type="dataBar" id="{C5C95AF5-D8DE-43CD-8997-AF8705A27408}">
            <x14:dataBar minLength="0" maxLength="100" gradient="0">
              <x14:cfvo type="autoMin"/>
              <x14:cfvo type="autoMax"/>
              <x14:negativeFillColor rgb="FFFF0000"/>
              <x14:axisColor rgb="FF000000"/>
            </x14:dataBar>
          </x14:cfRule>
          <xm:sqref>A3:B3 A4:A14</xm:sqref>
        </x14:conditionalFormatting>
        <x14:conditionalFormatting xmlns:xm="http://schemas.microsoft.com/office/excel/2006/main">
          <x14:cfRule type="dataBar" id="{7C5D13FB-3748-4FC9-94C3-43F3FAEBB773}">
            <x14:dataBar minLength="0" maxLength="100" gradient="0">
              <x14:cfvo type="autoMin"/>
              <x14:cfvo type="autoMax"/>
              <x14:negativeFillColor rgb="FFFF0000"/>
              <x14:axisColor rgb="FF000000"/>
            </x14:dataBar>
          </x14:cfRule>
          <xm:sqref>K11</xm:sqref>
        </x14:conditionalFormatting>
        <x14:conditionalFormatting xmlns:xm="http://schemas.microsoft.com/office/excel/2006/main">
          <x14:cfRule type="dataBar" id="{F743B4B1-ED19-4001-BCA7-6C1D280B3C04}">
            <x14:dataBar minLength="0" maxLength="100" gradient="0">
              <x14:cfvo type="autoMin"/>
              <x14:cfvo type="autoMax"/>
              <x14:negativeFillColor rgb="FFFF0000"/>
              <x14:axisColor rgb="FF000000"/>
            </x14:dataBar>
          </x14:cfRule>
          <xm:sqref>O3</xm:sqref>
        </x14:conditionalFormatting>
        <x14:conditionalFormatting xmlns:xm="http://schemas.microsoft.com/office/excel/2006/main">
          <x14:cfRule type="dataBar" id="{C369AB9D-AA80-47B5-8161-CE44D344F282}">
            <x14:dataBar minLength="0" maxLength="100" border="1" negativeBarBorderColorSameAsPositive="0">
              <x14:cfvo type="autoMin"/>
              <x14:cfvo type="autoMax"/>
              <x14:borderColor rgb="FF638EC6"/>
              <x14:negativeFillColor rgb="FFFF0000"/>
              <x14:negativeBorderColor rgb="FFFF0000"/>
              <x14:axisColor rgb="FF000000"/>
            </x14:dataBar>
          </x14:cfRule>
          <xm:sqref>O4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2421-2EA3-423D-A52A-E805EA75BF41}">
  <dimension ref="A3:C15"/>
  <sheetViews>
    <sheetView workbookViewId="0">
      <selection activeCell="C20" sqref="C20"/>
    </sheetView>
  </sheetViews>
  <sheetFormatPr defaultRowHeight="14.4" x14ac:dyDescent="0.3"/>
  <cols>
    <col min="1" max="1" width="12.5546875" bestFit="1" customWidth="1"/>
    <col min="2" max="2" width="23.109375" bestFit="1" customWidth="1"/>
    <col min="3" max="3" width="21.5546875" bestFit="1" customWidth="1"/>
  </cols>
  <sheetData>
    <row r="3" spans="1:3" x14ac:dyDescent="0.3">
      <c r="A3" s="4" t="s">
        <v>8</v>
      </c>
      <c r="B3" t="s">
        <v>12</v>
      </c>
      <c r="C3" t="s">
        <v>16</v>
      </c>
    </row>
    <row r="4" spans="1:3" x14ac:dyDescent="0.3">
      <c r="A4" s="5">
        <v>2014</v>
      </c>
      <c r="B4">
        <v>34.395856160972208</v>
      </c>
      <c r="C4">
        <v>20078</v>
      </c>
    </row>
    <row r="5" spans="1:3" x14ac:dyDescent="0.3">
      <c r="A5" s="5">
        <v>2015</v>
      </c>
      <c r="B5">
        <v>33.455674760022582</v>
      </c>
      <c r="C5">
        <v>21252</v>
      </c>
    </row>
    <row r="6" spans="1:3" x14ac:dyDescent="0.3">
      <c r="A6" s="5">
        <v>2016</v>
      </c>
      <c r="B6">
        <v>31.647012406295207</v>
      </c>
      <c r="C6">
        <v>22811</v>
      </c>
    </row>
    <row r="7" spans="1:3" x14ac:dyDescent="0.3">
      <c r="A7" s="5">
        <v>2017</v>
      </c>
      <c r="B7">
        <v>29.343715239154616</v>
      </c>
      <c r="C7">
        <v>22475</v>
      </c>
    </row>
    <row r="8" spans="1:3" x14ac:dyDescent="0.3">
      <c r="A8" s="5">
        <v>2018</v>
      </c>
      <c r="B8">
        <v>29.703103913630226</v>
      </c>
      <c r="C8">
        <v>22230</v>
      </c>
    </row>
    <row r="9" spans="1:3" x14ac:dyDescent="0.3">
      <c r="A9" s="5">
        <v>2019</v>
      </c>
      <c r="B9">
        <v>31.49898091532333</v>
      </c>
      <c r="C9">
        <v>21588</v>
      </c>
    </row>
    <row r="10" spans="1:3" x14ac:dyDescent="0.3">
      <c r="A10" s="5">
        <v>2020</v>
      </c>
      <c r="B10">
        <v>34.794406178250888</v>
      </c>
      <c r="C10">
        <v>19164</v>
      </c>
    </row>
    <row r="11" spans="1:3" x14ac:dyDescent="0.3">
      <c r="A11" s="5">
        <v>2021</v>
      </c>
      <c r="B11">
        <v>35.463288763781371</v>
      </c>
      <c r="C11">
        <v>21315</v>
      </c>
    </row>
    <row r="12" spans="1:3" x14ac:dyDescent="0.3">
      <c r="A12" s="5">
        <v>2022</v>
      </c>
      <c r="B12">
        <v>35.010870067995747</v>
      </c>
      <c r="C12">
        <v>21619</v>
      </c>
    </row>
    <row r="13" spans="1:3" x14ac:dyDescent="0.3">
      <c r="A13" s="5">
        <v>2023</v>
      </c>
      <c r="B13">
        <v>33.445400165917128</v>
      </c>
      <c r="C13">
        <v>22903</v>
      </c>
    </row>
    <row r="14" spans="1:3" x14ac:dyDescent="0.3">
      <c r="A14" s="5">
        <v>2024</v>
      </c>
      <c r="B14">
        <v>28.075113750289198</v>
      </c>
      <c r="C14">
        <v>25934</v>
      </c>
    </row>
    <row r="15" spans="1:3" x14ac:dyDescent="0.3">
      <c r="A15" s="5" t="s">
        <v>9</v>
      </c>
      <c r="B15">
        <v>32.439402029239318</v>
      </c>
      <c r="C15">
        <v>241369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CC4F-66A2-4DCE-8C26-9F651BCBB222}">
  <dimension ref="A3:C6"/>
  <sheetViews>
    <sheetView workbookViewId="0">
      <selection activeCell="M21" sqref="M21"/>
    </sheetView>
  </sheetViews>
  <sheetFormatPr defaultRowHeight="14.4" x14ac:dyDescent="0.3"/>
  <cols>
    <col min="1" max="1" width="12.5546875" bestFit="1" customWidth="1"/>
    <col min="2" max="2" width="21.5546875" bestFit="1" customWidth="1"/>
    <col min="3" max="3" width="19.5546875" bestFit="1" customWidth="1"/>
  </cols>
  <sheetData>
    <row r="3" spans="1:3" x14ac:dyDescent="0.3">
      <c r="A3" s="4" t="s">
        <v>8</v>
      </c>
      <c r="B3" t="s">
        <v>16</v>
      </c>
      <c r="C3" t="s">
        <v>13</v>
      </c>
    </row>
    <row r="4" spans="1:3" x14ac:dyDescent="0.3">
      <c r="A4" s="5" t="s">
        <v>17</v>
      </c>
      <c r="B4">
        <v>110935</v>
      </c>
      <c r="C4">
        <v>6.0358574155278193</v>
      </c>
    </row>
    <row r="5" spans="1:3" x14ac:dyDescent="0.3">
      <c r="A5" s="5" t="s">
        <v>18</v>
      </c>
      <c r="B5">
        <v>130434</v>
      </c>
      <c r="C5">
        <v>8.3001936061607626</v>
      </c>
    </row>
    <row r="6" spans="1:3" x14ac:dyDescent="0.3">
      <c r="A6" s="5" t="s">
        <v>9</v>
      </c>
      <c r="B6">
        <v>241369</v>
      </c>
      <c r="C6">
        <v>14.336051021688583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1CD96-8A3F-4FE4-8D7B-87D7CCA02827}">
  <dimension ref="A1"/>
  <sheetViews>
    <sheetView tabSelected="1" workbookViewId="0">
      <selection activeCell="M42" sqref="M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38C62-DC79-4C96-92EF-A1DBCFA86DEE}">
  <dimension ref="A1:H12"/>
  <sheetViews>
    <sheetView workbookViewId="0"/>
  </sheetViews>
  <sheetFormatPr defaultRowHeight="14.4" x14ac:dyDescent="0.3"/>
  <cols>
    <col min="1" max="1" width="13.109375" customWidth="1"/>
    <col min="2" max="2" width="25.6640625" customWidth="1"/>
    <col min="3" max="3" width="23.6640625" customWidth="1"/>
    <col min="4" max="4" width="20.33203125" customWidth="1"/>
    <col min="5" max="5" width="21.88671875" customWidth="1"/>
    <col min="6" max="6" width="18" customWidth="1"/>
    <col min="7" max="7" width="19.109375" customWidth="1"/>
    <col min="8" max="8" width="30.5546875" customWidth="1"/>
  </cols>
  <sheetData>
    <row r="1" spans="1:8" ht="15.6" x14ac:dyDescent="0.3">
      <c r="A1" s="1" t="s">
        <v>0</v>
      </c>
      <c r="B1" s="1" t="s">
        <v>1</v>
      </c>
      <c r="C1" s="2" t="s">
        <v>2</v>
      </c>
      <c r="D1" s="2" t="s">
        <v>3</v>
      </c>
      <c r="E1" s="3" t="s">
        <v>6</v>
      </c>
      <c r="F1" s="3" t="s">
        <v>4</v>
      </c>
      <c r="G1" s="3" t="s">
        <v>5</v>
      </c>
      <c r="H1" s="3" t="s">
        <v>7</v>
      </c>
    </row>
    <row r="2" spans="1:8" x14ac:dyDescent="0.3">
      <c r="A2">
        <v>2014</v>
      </c>
      <c r="B2">
        <v>20078</v>
      </c>
      <c r="C2">
        <v>6906</v>
      </c>
      <c r="D2">
        <v>21636</v>
      </c>
      <c r="E2">
        <f>C2/B2%</f>
        <v>34.395856160972208</v>
      </c>
      <c r="G2">
        <f>(C2+D2)/B2</f>
        <v>1.4215559318657236</v>
      </c>
      <c r="H2" t="str">
        <f>IF(A2&lt;2020,"PRE-COVID","POST-COVID")</f>
        <v>PRE-COVID</v>
      </c>
    </row>
    <row r="3" spans="1:8" x14ac:dyDescent="0.3">
      <c r="A3">
        <v>2015</v>
      </c>
      <c r="B3">
        <v>21252</v>
      </c>
      <c r="C3">
        <v>7110</v>
      </c>
      <c r="D3">
        <v>22948</v>
      </c>
      <c r="E3">
        <f t="shared" ref="E3:E12" si="0">C3/B3%</f>
        <v>33.455674760022582</v>
      </c>
      <c r="F3">
        <f>(B2-B3)/B3%</f>
        <v>-5.5241859589685678</v>
      </c>
      <c r="G3">
        <f t="shared" ref="G3:G12" si="1">(C3+D3)/B3</f>
        <v>1.414361001317523</v>
      </c>
      <c r="H3" t="str">
        <f t="shared" ref="H3:H12" si="2">IF(A3&lt;2020,"PRE-COVID","POST-COVID")</f>
        <v>PRE-COVID</v>
      </c>
    </row>
    <row r="4" spans="1:8" x14ac:dyDescent="0.3">
      <c r="A4">
        <v>2016</v>
      </c>
      <c r="B4">
        <v>22811</v>
      </c>
      <c r="C4">
        <v>7219</v>
      </c>
      <c r="D4">
        <v>24217</v>
      </c>
      <c r="E4">
        <f t="shared" si="0"/>
        <v>31.647012406295207</v>
      </c>
      <c r="F4">
        <f t="shared" ref="F4:F12" si="3">(B3-B4)/B4%</f>
        <v>-6.8344219893910827</v>
      </c>
      <c r="G4">
        <f t="shared" si="1"/>
        <v>1.3781070536144842</v>
      </c>
      <c r="H4" t="str">
        <f t="shared" si="2"/>
        <v>PRE-COVID</v>
      </c>
    </row>
    <row r="5" spans="1:8" x14ac:dyDescent="0.3">
      <c r="A5">
        <v>2017</v>
      </c>
      <c r="B5">
        <v>22475</v>
      </c>
      <c r="C5">
        <v>6595</v>
      </c>
      <c r="D5">
        <v>24017</v>
      </c>
      <c r="E5">
        <f t="shared" si="0"/>
        <v>29.343715239154616</v>
      </c>
      <c r="F5">
        <f t="shared" si="3"/>
        <v>1.4949944382647387</v>
      </c>
      <c r="G5">
        <f t="shared" si="1"/>
        <v>1.3620467185761957</v>
      </c>
      <c r="H5" t="str">
        <f t="shared" si="2"/>
        <v>PRE-COVID</v>
      </c>
    </row>
    <row r="6" spans="1:8" x14ac:dyDescent="0.3">
      <c r="A6">
        <v>2018</v>
      </c>
      <c r="B6">
        <v>22230</v>
      </c>
      <c r="C6">
        <v>6603</v>
      </c>
      <c r="D6">
        <v>23613</v>
      </c>
      <c r="E6">
        <f t="shared" si="0"/>
        <v>29.703103913630226</v>
      </c>
      <c r="F6">
        <f t="shared" si="3"/>
        <v>1.1021142600089968</v>
      </c>
      <c r="G6">
        <f t="shared" si="1"/>
        <v>1.3592442645074223</v>
      </c>
      <c r="H6" t="str">
        <f t="shared" si="2"/>
        <v>PRE-COVID</v>
      </c>
    </row>
    <row r="7" spans="1:8" x14ac:dyDescent="0.3">
      <c r="A7">
        <v>2019</v>
      </c>
      <c r="B7">
        <v>21588</v>
      </c>
      <c r="C7">
        <v>6800</v>
      </c>
      <c r="D7">
        <v>22665</v>
      </c>
      <c r="E7">
        <f t="shared" si="0"/>
        <v>31.49898091532333</v>
      </c>
      <c r="F7">
        <f t="shared" si="3"/>
        <v>2.9738743746525849</v>
      </c>
      <c r="G7">
        <f t="shared" si="1"/>
        <v>1.3648786362794145</v>
      </c>
      <c r="H7" t="str">
        <f t="shared" si="2"/>
        <v>PRE-COVID</v>
      </c>
    </row>
    <row r="8" spans="1:8" x14ac:dyDescent="0.3">
      <c r="A8">
        <v>2020</v>
      </c>
      <c r="B8">
        <v>19164</v>
      </c>
      <c r="C8">
        <v>6668</v>
      </c>
      <c r="D8">
        <v>18745</v>
      </c>
      <c r="E8">
        <f t="shared" si="0"/>
        <v>34.794406178250888</v>
      </c>
      <c r="F8">
        <f t="shared" si="3"/>
        <v>12.648716343143395</v>
      </c>
      <c r="G8">
        <f t="shared" si="1"/>
        <v>1.3260801502817783</v>
      </c>
      <c r="H8" t="str">
        <f t="shared" si="2"/>
        <v>POST-COVID</v>
      </c>
    </row>
    <row r="9" spans="1:8" x14ac:dyDescent="0.3">
      <c r="A9">
        <v>2021</v>
      </c>
      <c r="B9">
        <v>21315</v>
      </c>
      <c r="C9">
        <v>7559</v>
      </c>
      <c r="D9">
        <v>20107</v>
      </c>
      <c r="E9">
        <f t="shared" si="0"/>
        <v>35.463288763781371</v>
      </c>
      <c r="F9">
        <f t="shared" si="3"/>
        <v>-10.091484869809992</v>
      </c>
      <c r="G9">
        <f t="shared" si="1"/>
        <v>1.2979591836734694</v>
      </c>
      <c r="H9" t="str">
        <f t="shared" si="2"/>
        <v>POST-COVID</v>
      </c>
    </row>
    <row r="10" spans="1:8" x14ac:dyDescent="0.3">
      <c r="A10">
        <v>2022</v>
      </c>
      <c r="B10">
        <v>21619</v>
      </c>
      <c r="C10">
        <v>7569</v>
      </c>
      <c r="D10">
        <v>20209</v>
      </c>
      <c r="E10">
        <f t="shared" si="0"/>
        <v>35.010870067995747</v>
      </c>
      <c r="F10">
        <f t="shared" si="3"/>
        <v>-1.4061704981729035</v>
      </c>
      <c r="G10">
        <f t="shared" si="1"/>
        <v>1.2848882927054905</v>
      </c>
      <c r="H10" t="str">
        <f t="shared" si="2"/>
        <v>POST-COVID</v>
      </c>
    </row>
    <row r="11" spans="1:8" x14ac:dyDescent="0.3">
      <c r="A11">
        <v>2023</v>
      </c>
      <c r="B11">
        <v>22903</v>
      </c>
      <c r="C11">
        <v>7660</v>
      </c>
      <c r="D11">
        <v>21022</v>
      </c>
      <c r="E11">
        <f t="shared" si="0"/>
        <v>33.445400165917128</v>
      </c>
      <c r="F11">
        <f t="shared" si="3"/>
        <v>-5.6062524560101297</v>
      </c>
      <c r="G11">
        <f t="shared" si="1"/>
        <v>1.2523250229227612</v>
      </c>
      <c r="H11" t="str">
        <f t="shared" si="2"/>
        <v>POST-COVID</v>
      </c>
    </row>
    <row r="12" spans="1:8" x14ac:dyDescent="0.3">
      <c r="A12">
        <v>2024</v>
      </c>
      <c r="B12">
        <v>25934</v>
      </c>
      <c r="C12">
        <v>7281</v>
      </c>
      <c r="D12">
        <v>15401</v>
      </c>
      <c r="E12">
        <f t="shared" si="0"/>
        <v>28.075113750289198</v>
      </c>
      <c r="F12">
        <f t="shared" si="3"/>
        <v>-11.68736022210226</v>
      </c>
      <c r="G12">
        <f t="shared" si="1"/>
        <v>0.87460476594432024</v>
      </c>
      <c r="H12" t="str">
        <f t="shared" si="2"/>
        <v>POST-COVID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Sheet5</vt:lpstr>
      <vt:lpstr>Sheet6</vt:lpstr>
      <vt:lpstr>Sheet2</vt:lpstr>
      <vt:lpstr>Executive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mangalivenkatesh26@outlook.com</dc:creator>
  <cp:lastModifiedBy>mangalivenkatesh26@outlook.com</cp:lastModifiedBy>
  <dcterms:created xsi:type="dcterms:W3CDTF">2026-02-04T06:48:57Z</dcterms:created>
  <dcterms:modified xsi:type="dcterms:W3CDTF">2026-02-05T14:16:43Z</dcterms:modified>
</cp:coreProperties>
</file>